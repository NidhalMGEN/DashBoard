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name="Accolade - KPI V1.14" sheetId="1" state="visible" r:id="rId1"/>
    <sheet name="Synthèse" sheetId="2" state="visible" r:id="rId2"/>
    <sheet name="Feuil1" sheetId="3" state="visible" r:id="rId3"/>
    <sheet name="Feuil2" sheetId="4" state="visible" r:id="rId4"/>
    <sheet name="Feuil3" sheetId="5" state="visible" r:id="rId5"/>
    <sheet name="Feuil4" sheetId="6" state="visible" r:id="rId6"/>
    <sheet name="Feuil7" sheetId="7" state="visible" r:id="rId7"/>
    <sheet name="Feuil5" sheetId="8" state="visible" r:id="rId8"/>
    <sheet name="Feuil6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10409]m/d/yyyy"/>
  </numFmts>
  <fonts count="24">
    <font>
      <name val="Calibri"/>
      <family val="2"/>
      <color rgb="FF000000"/>
      <sz val="11"/>
      <scheme val="minor"/>
    </font>
    <font>
      <name val="Calibri"/>
      <sz val="11"/>
    </font>
    <font>
      <name val="-apple-system"/>
      <b val="1"/>
      <color rgb="FF000000"/>
      <sz val="16"/>
    </font>
    <font>
      <name val="-apple-system"/>
      <b val="1"/>
      <color rgb="FF000000"/>
      <sz val="10.5"/>
      <u val="single"/>
    </font>
    <font>
      <name val="Segoe UI"/>
      <color rgb="FF000000"/>
      <sz val="10"/>
    </font>
    <font>
      <name val="Arial"/>
      <color rgb="FF000000"/>
      <sz val="10"/>
    </font>
    <font>
      <name val="Calibri"/>
      <b val="1"/>
      <color rgb="FF000000"/>
      <sz val="11"/>
      <u val="single"/>
    </font>
    <font>
      <name val="Segoe UI"/>
      <b val="1"/>
      <color rgb="FF696969"/>
      <sz val="11"/>
    </font>
    <font>
      <name val="Calibri"/>
      <b val="1"/>
      <color rgb="FF1F497D"/>
      <sz val="14"/>
    </font>
    <font>
      <name val="Calibri"/>
      <b val="1"/>
      <color rgb="FF1F497D"/>
      <sz val="11"/>
    </font>
    <font>
      <name val="Calibri"/>
      <sz val="10"/>
    </font>
    <font>
      <name val="Calibri"/>
      <b val="1"/>
      <sz val="10"/>
    </font>
    <font>
      <name val="Calibri"/>
      <b val="1"/>
      <color rgb="FFFFFFFF"/>
      <sz val="10"/>
    </font>
    <font>
      <name val="Calibri"/>
      <i val="1"/>
      <color rgb="FF595959"/>
      <sz val="10"/>
    </font>
    <font>
      <name val="Calibri"/>
      <b val="1"/>
      <i val="1"/>
      <color rgb="FF375623"/>
      <sz val="10"/>
    </font>
    <font>
      <name val="Calibri"/>
      <b val="1"/>
      <color rgb="FF7F6000"/>
      <sz val="10"/>
    </font>
    <font>
      <b val="1"/>
      <color rgb="001F497D"/>
      <sz val="14"/>
    </font>
    <font>
      <b val="1"/>
      <color rgb="001F497D"/>
      <sz val="11"/>
    </font>
    <font>
      <sz val="10"/>
    </font>
    <font>
      <b val="1"/>
      <sz val="10"/>
    </font>
    <font>
      <b val="1"/>
      <color rgb="00FFFFFF"/>
      <sz val="10"/>
    </font>
    <font>
      <i val="1"/>
      <color rgb="00595959"/>
      <sz val="10"/>
    </font>
    <font>
      <b val="1"/>
      <i val="1"/>
      <color rgb="00375623"/>
      <sz val="10"/>
    </font>
    <font>
      <b val="1"/>
      <color rgb="007F6000"/>
      <sz val="10"/>
    </font>
  </fonts>
  <fills count="11">
    <fill>
      <patternFill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DCE6F1"/>
      </patternFill>
    </fill>
    <fill>
      <patternFill patternType="solid">
        <fgColor rgb="FF1F497D"/>
      </patternFill>
    </fill>
    <fill>
      <patternFill patternType="solid">
        <fgColor rgb="FFEBF1DE"/>
      </patternFill>
    </fill>
    <fill>
      <patternFill patternType="solid">
        <fgColor rgb="FFFFF2CC"/>
      </patternFill>
    </fill>
    <fill>
      <patternFill patternType="solid">
        <fgColor rgb="00DCE6F1"/>
      </patternFill>
    </fill>
    <fill>
      <patternFill patternType="solid">
        <fgColor rgb="001F497D"/>
      </patternFill>
    </fill>
    <fill>
      <patternFill patternType="solid">
        <fgColor rgb="00EBF1D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64"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10" fontId="13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3" fontId="14" fillId="5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3" fontId="11" fillId="3" borderId="0" applyAlignment="1" pivotButton="0" quotePrefix="0" xfId="0">
      <alignment horizontal="center" vertical="center"/>
    </xf>
    <xf numFmtId="10" fontId="11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3" fontId="15" fillId="6" borderId="0" applyAlignment="1" pivotButton="0" quotePrefix="0" xfId="0">
      <alignment horizontal="center" vertical="center"/>
    </xf>
    <xf numFmtId="10" fontId="15" fillId="6" borderId="0" applyAlignment="1" pivotButton="0" quotePrefix="0" xfId="0">
      <alignment horizontal="center" vertical="center"/>
    </xf>
    <xf numFmtId="3" fontId="10" fillId="0" borderId="0" pivotButton="0" quotePrefix="0" xfId="0"/>
    <xf numFmtId="10" fontId="13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 readingOrder="1"/>
    </xf>
    <xf numFmtId="0" fontId="5" fillId="0" borderId="1" applyAlignment="1" pivotButton="0" quotePrefix="0" xfId="0">
      <alignment vertical="top" wrapText="1" readingOrder="1"/>
    </xf>
    <xf numFmtId="0" fontId="4" fillId="0" borderId="0" applyAlignment="1" pivotButton="0" quotePrefix="0" xfId="0">
      <alignment vertical="top" wrapText="1" readingOrder="1"/>
    </xf>
    <xf numFmtId="164" fontId="4" fillId="0" borderId="1" applyAlignment="1" pivotButton="0" quotePrefix="0" xfId="0">
      <alignment vertical="top" wrapText="1" readingOrder="1"/>
    </xf>
    <xf numFmtId="0" fontId="6" fillId="0" borderId="0" applyAlignment="1" pivotButton="0" quotePrefix="0" xfId="0">
      <alignment vertical="top" wrapText="1" readingOrder="1"/>
    </xf>
    <xf numFmtId="0" fontId="3" fillId="0" borderId="0" applyAlignment="1" pivotButton="0" quotePrefix="0" xfId="0">
      <alignment vertical="top" wrapText="1" readingOrder="1"/>
    </xf>
    <xf numFmtId="0" fontId="2" fillId="0" borderId="0" applyAlignment="1" pivotButton="0" quotePrefix="0" xfId="0">
      <alignment vertical="top" wrapText="1" readingOrder="1"/>
    </xf>
    <xf numFmtId="0" fontId="7" fillId="0" borderId="1" applyAlignment="1" pivotButton="0" quotePrefix="0" xfId="0">
      <alignment horizontal="right" vertical="center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0" borderId="0" pivotButton="0" quotePrefix="0" xfId="0"/>
    <xf numFmtId="0" fontId="17" fillId="7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10" fontId="21" fillId="0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left" vertical="center"/>
    </xf>
    <xf numFmtId="3" fontId="22" fillId="9" borderId="0" applyAlignment="1" pivotButton="0" quotePrefix="0" xfId="0">
      <alignment horizontal="center" vertical="center"/>
    </xf>
    <xf numFmtId="10" fontId="22" fillId="9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3" fontId="19" fillId="7" borderId="0" applyAlignment="1" pivotButton="0" quotePrefix="0" xfId="0">
      <alignment horizontal="center" vertical="center"/>
    </xf>
    <xf numFmtId="10" fontId="19" fillId="7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left" vertical="center"/>
    </xf>
    <xf numFmtId="3" fontId="23" fillId="10" borderId="0" applyAlignment="1" pivotButton="0" quotePrefix="0" xfId="0">
      <alignment horizontal="center" vertical="center"/>
    </xf>
    <xf numFmtId="10" fontId="23" fillId="10" borderId="0" applyAlignment="1" pivotButton="0" quotePrefix="0" xfId="0">
      <alignment horizontal="center" vertical="center"/>
    </xf>
    <xf numFmtId="3" fontId="18" fillId="0" borderId="0" pivotButton="0" quotePrefix="0" xfId="0"/>
    <xf numFmtId="10" fontId="21" fillId="10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15"/>
  <sheetViews>
    <sheetView showGridLines="0" tabSelected="1" workbookViewId="0">
      <selection activeCell="AY22" sqref="AY22"/>
    </sheetView>
  </sheetViews>
  <sheetFormatPr baseColWidth="8" defaultRowHeight="15"/>
  <cols>
    <col width="0.5703125" customWidth="1" style="36" min="1" max="1"/>
    <col width="0.140625" customWidth="1" style="36" min="2" max="2"/>
    <col width="0.5703125" customWidth="1" style="36" min="3" max="3"/>
    <col width="0.140625" customWidth="1" style="36" min="4" max="6"/>
    <col hidden="1" style="36" min="7" max="7"/>
    <col width="0.140625" customWidth="1" style="36" min="8" max="8"/>
    <col hidden="1" style="36" min="9" max="9"/>
    <col width="0.140625" customWidth="1" style="36" min="10" max="13"/>
    <col hidden="1" style="36" min="14" max="14"/>
    <col width="11.85546875" customWidth="1" style="36" min="15" max="15"/>
    <col width="5.28515625" customWidth="1" style="36" min="16" max="16"/>
    <col width="0.28515625" customWidth="1" style="36" min="17" max="17"/>
    <col width="2.5703125" customWidth="1" style="36" min="18" max="18"/>
    <col width="5.28515625" customWidth="1" style="36" min="19" max="19"/>
    <col hidden="1" style="36" min="20" max="20"/>
    <col width="5.28515625" customWidth="1" style="36" min="21" max="21"/>
    <col width="0.28515625" customWidth="1" style="36" min="22" max="22"/>
    <col width="9.5703125" customWidth="1" style="36" min="23" max="23"/>
    <col hidden="1" style="36" min="24" max="24"/>
    <col width="3.7109375" customWidth="1" style="36" min="25" max="25"/>
    <col width="7.5703125" customWidth="1" style="36" min="26" max="26"/>
    <col width="0.28515625" customWidth="1" style="36" min="27" max="27"/>
    <col width="0.5703125" customWidth="1" style="36" min="28" max="28"/>
    <col width="0.140625" customWidth="1" style="36" min="29" max="29"/>
    <col width="1" customWidth="1" style="36" min="30" max="30"/>
    <col width="21" customWidth="1" style="36" min="31" max="31"/>
    <col width="3" customWidth="1" style="36" min="32" max="32"/>
    <col width="0.85546875" customWidth="1" style="36" min="33" max="33"/>
    <col width="19.7109375" customWidth="1" style="36" min="34" max="34"/>
    <col width="8.7109375" customWidth="1" style="36" min="35" max="35"/>
    <col width="1.7109375" customWidth="1" style="36" min="36" max="36"/>
    <col width="0.5703125" customWidth="1" style="36" min="37" max="37"/>
    <col width="0.140625" customWidth="1" style="36" min="38" max="40"/>
    <col hidden="1" style="36" min="41" max="41"/>
    <col width="0.140625" customWidth="1" style="36" min="42" max="42"/>
    <col hidden="1" style="36" min="43" max="43"/>
    <col width="0.42578125" customWidth="1" style="36" min="44" max="44"/>
    <col width="0.140625" customWidth="1" style="36" min="45" max="50"/>
    <col width="12.85546875" customWidth="1" style="36" min="51" max="51"/>
    <col width="0.140625" customWidth="1" style="36" min="52" max="56"/>
    <col width="1" customWidth="1" style="36" min="57" max="57"/>
    <col width="0.5703125" customWidth="1" style="36" min="58" max="58"/>
    <col hidden="1" style="36" min="59" max="59"/>
    <col width="0.140625" customWidth="1" style="36" min="60" max="60"/>
    <col hidden="1" style="36" min="61" max="61"/>
    <col width="0.140625" customWidth="1" style="36" min="62" max="62"/>
    <col hidden="1" style="36" min="63" max="63"/>
    <col width="0.140625" customWidth="1" style="36" min="64" max="64"/>
    <col hidden="1" style="36" min="65" max="67"/>
    <col width="0.140625" customWidth="1" style="36" min="68" max="68"/>
    <col hidden="1" style="36" min="69" max="70"/>
    <col width="0.140625" customWidth="1" style="36" min="71" max="71"/>
    <col hidden="1" style="36" min="72" max="72"/>
    <col width="0.28515625" customWidth="1" style="36" min="73" max="73"/>
    <col width="1.7109375" customWidth="1" style="36" min="74" max="74"/>
    <col width="1" customWidth="1" style="36" min="75" max="75"/>
    <col width="12.5703125" customWidth="1" style="36" min="76" max="76"/>
    <col width="1" customWidth="1" style="36" min="77" max="77"/>
    <col width="0.7109375" customWidth="1" style="36" min="78" max="78"/>
    <col width="46.140625" customWidth="1" style="36" min="79" max="79"/>
  </cols>
  <sheetData>
    <row r="1" ht="36" customHeight="1" s="36">
      <c r="H1" s="34" t="inlineStr">
        <is>
          <t>KPI Accolade V1.14</t>
        </is>
      </c>
    </row>
    <row r="2" ht="17.25" customHeight="1" s="36"/>
    <row r="3" ht="17.1" customHeight="1" s="36">
      <c r="J3" s="33" t="inlineStr">
        <is>
          <t>KPI 1 - Nombre de nouvelles souscriptions dans Accolade depuis le 01/01/24:</t>
        </is>
      </c>
      <c r="AY3" s="30" t="n">
        <v>3580988</v>
      </c>
    </row>
    <row r="4" ht="7.35" customHeight="1" s="36"/>
    <row r="5" hidden="1" customHeight="1" s="36"/>
    <row r="6" ht="14.1" customHeight="1" s="36"/>
    <row r="7" ht="17.1" customHeight="1" s="36">
      <c r="J7" s="33" t="inlineStr">
        <is>
          <t>KPI 2 - Nombre de résiliations effectuées dans Accolade</t>
        </is>
      </c>
      <c r="AX7" s="30" t="n">
        <v>544129</v>
      </c>
    </row>
    <row r="8" ht="7.35" customHeight="1" s="36"/>
    <row r="9" hidden="1" customHeight="1" s="36"/>
    <row r="10" ht="12.4" customHeight="1" s="36"/>
    <row r="11" ht="17.1" customHeight="1" s="36">
      <c r="J11" s="33" t="inlineStr">
        <is>
          <t>KPI 2 Bis - Nombre de résiliations dans Accolade depuis le 01/01/2024 dont la souscription a été réalisée depuis le 01/01/2024 :</t>
        </is>
      </c>
      <c r="AX11" s="30" t="n">
        <v>490383</v>
      </c>
    </row>
    <row r="12" ht="7.35" customHeight="1" s="36"/>
    <row r="13" hidden="1" customHeight="1" s="36"/>
    <row r="14" ht="9.75" customHeight="1" s="36"/>
    <row r="15" ht="17.1" customHeight="1" s="36">
      <c r="H15" s="33" t="inlineStr">
        <is>
          <t>KPI 2 Ter - Nombre de résiliations par motif dans AI (résiliations de l'année en cours : 2026)</t>
        </is>
      </c>
      <c r="AW15" s="30" t="n">
        <v>463545</v>
      </c>
    </row>
    <row r="16" ht="7.35" customHeight="1" s="36"/>
    <row r="17" hidden="1" customHeight="1" s="36"/>
    <row r="18" ht="5.1" customHeight="1" s="36"/>
    <row r="19" ht="17.1" customHeight="1" s="36">
      <c r="G19" s="29" t="inlineStr">
        <is>
          <t>Société</t>
        </is>
      </c>
      <c r="H19" s="37" t="n"/>
      <c r="I19" s="37" t="n"/>
      <c r="J19" s="37" t="n"/>
      <c r="K19" s="37" t="n"/>
      <c r="L19" s="37" t="n"/>
      <c r="M19" s="37" t="n"/>
      <c r="N19" s="37" t="n"/>
      <c r="O19" s="37" t="n"/>
      <c r="P19" s="38" t="n"/>
      <c r="Q19" s="28" t="inlineStr">
        <is>
          <t>motif resiliation</t>
        </is>
      </c>
      <c r="R19" s="37" t="n"/>
      <c r="S19" s="37" t="n"/>
      <c r="T19" s="37" t="n"/>
      <c r="U19" s="38" t="n"/>
      <c r="V19" s="28" t="inlineStr">
        <is>
          <t>nombre de résiliations</t>
        </is>
      </c>
      <c r="W19" s="37" t="n"/>
      <c r="X19" s="37" t="n"/>
      <c r="Y19" s="37" t="n"/>
      <c r="Z19" s="37" t="n"/>
      <c r="AA19" s="37" t="n"/>
      <c r="AB19" s="37" t="n"/>
      <c r="AC19" s="37" t="n"/>
      <c r="AD19" s="38" t="n"/>
    </row>
    <row r="20" ht="17.1" customHeight="1" s="36">
      <c r="G20" s="29" t="inlineStr">
        <is>
          <t>010</t>
        </is>
      </c>
      <c r="H20" s="37" t="n"/>
      <c r="I20" s="37" t="n"/>
      <c r="J20" s="37" t="n"/>
      <c r="K20" s="37" t="n"/>
      <c r="L20" s="37" t="n"/>
      <c r="M20" s="37" t="n"/>
      <c r="N20" s="37" t="n"/>
      <c r="O20" s="37" t="n"/>
      <c r="P20" s="38" t="n"/>
      <c r="Q20" s="28" t="inlineStr">
        <is>
          <t>AGE</t>
        </is>
      </c>
      <c r="R20" s="37" t="n"/>
      <c r="S20" s="37" t="n"/>
      <c r="T20" s="37" t="n"/>
      <c r="U20" s="38" t="n"/>
      <c r="V20" s="28" t="n">
        <v>15</v>
      </c>
      <c r="W20" s="37" t="n"/>
      <c r="X20" s="37" t="n"/>
      <c r="Y20" s="37" t="n"/>
      <c r="Z20" s="37" t="n"/>
      <c r="AA20" s="37" t="n"/>
      <c r="AB20" s="37" t="n"/>
      <c r="AC20" s="37" t="n"/>
      <c r="AD20" s="38" t="n"/>
    </row>
    <row r="21" ht="17.1" customHeight="1" s="36">
      <c r="G21" s="29" t="inlineStr">
        <is>
          <t>000</t>
        </is>
      </c>
      <c r="H21" s="37" t="n"/>
      <c r="I21" s="37" t="n"/>
      <c r="J21" s="37" t="n"/>
      <c r="K21" s="37" t="n"/>
      <c r="L21" s="37" t="n"/>
      <c r="M21" s="37" t="n"/>
      <c r="N21" s="37" t="n"/>
      <c r="O21" s="37" t="n"/>
      <c r="P21" s="38" t="n"/>
      <c r="Q21" s="28" t="inlineStr">
        <is>
          <t>ANNUL</t>
        </is>
      </c>
      <c r="R21" s="37" t="n"/>
      <c r="S21" s="37" t="n"/>
      <c r="T21" s="37" t="n"/>
      <c r="U21" s="38" t="n"/>
      <c r="V21" s="28" t="n">
        <v>4345</v>
      </c>
      <c r="W21" s="37" t="n"/>
      <c r="X21" s="37" t="n"/>
      <c r="Y21" s="37" t="n"/>
      <c r="Z21" s="37" t="n"/>
      <c r="AA21" s="37" t="n"/>
      <c r="AB21" s="37" t="n"/>
      <c r="AC21" s="37" t="n"/>
      <c r="AD21" s="38" t="n"/>
    </row>
    <row r="22" ht="17.1" customHeight="1" s="36">
      <c r="G22" s="29" t="inlineStr">
        <is>
          <t>044</t>
        </is>
      </c>
      <c r="H22" s="37" t="n"/>
      <c r="I22" s="37" t="n"/>
      <c r="J22" s="37" t="n"/>
      <c r="K22" s="37" t="n"/>
      <c r="L22" s="37" t="n"/>
      <c r="M22" s="37" t="n"/>
      <c r="N22" s="37" t="n"/>
      <c r="O22" s="37" t="n"/>
      <c r="P22" s="38" t="n"/>
      <c r="Q22" s="28" t="inlineStr">
        <is>
          <t>ANNUL</t>
        </is>
      </c>
      <c r="R22" s="37" t="n"/>
      <c r="S22" s="37" t="n"/>
      <c r="T22" s="37" t="n"/>
      <c r="U22" s="38" t="n"/>
      <c r="V22" s="28" t="n">
        <v>253</v>
      </c>
      <c r="W22" s="37" t="n"/>
      <c r="X22" s="37" t="n"/>
      <c r="Y22" s="37" t="n"/>
      <c r="Z22" s="37" t="n"/>
      <c r="AA22" s="37" t="n"/>
      <c r="AB22" s="37" t="n"/>
      <c r="AC22" s="37" t="n"/>
      <c r="AD22" s="38" t="n"/>
    </row>
    <row r="23" ht="17.1" customHeight="1" s="36">
      <c r="G23" s="29" t="inlineStr">
        <is>
          <t>073</t>
        </is>
      </c>
      <c r="H23" s="37" t="n"/>
      <c r="I23" s="37" t="n"/>
      <c r="J23" s="37" t="n"/>
      <c r="K23" s="37" t="n"/>
      <c r="L23" s="37" t="n"/>
      <c r="M23" s="37" t="n"/>
      <c r="N23" s="37" t="n"/>
      <c r="O23" s="37" t="n"/>
      <c r="P23" s="38" t="n"/>
      <c r="Q23" s="28" t="inlineStr">
        <is>
          <t>ANNUL</t>
        </is>
      </c>
      <c r="R23" s="37" t="n"/>
      <c r="S23" s="37" t="n"/>
      <c r="T23" s="37" t="n"/>
      <c r="U23" s="38" t="n"/>
      <c r="V23" s="28" t="n">
        <v>26</v>
      </c>
      <c r="W23" s="37" t="n"/>
      <c r="X23" s="37" t="n"/>
      <c r="Y23" s="37" t="n"/>
      <c r="Z23" s="37" t="n"/>
      <c r="AA23" s="37" t="n"/>
      <c r="AB23" s="37" t="n"/>
      <c r="AC23" s="37" t="n"/>
      <c r="AD23" s="38" t="n"/>
    </row>
    <row r="24" ht="17.1" customHeight="1" s="36">
      <c r="G24" s="29" t="inlineStr">
        <is>
          <t>052</t>
        </is>
      </c>
      <c r="H24" s="37" t="n"/>
      <c r="I24" s="37" t="n"/>
      <c r="J24" s="37" t="n"/>
      <c r="K24" s="37" t="n"/>
      <c r="L24" s="37" t="n"/>
      <c r="M24" s="37" t="n"/>
      <c r="N24" s="37" t="n"/>
      <c r="O24" s="37" t="n"/>
      <c r="P24" s="38" t="n"/>
      <c r="Q24" s="28" t="inlineStr">
        <is>
          <t>ANNUL</t>
        </is>
      </c>
      <c r="R24" s="37" t="n"/>
      <c r="S24" s="37" t="n"/>
      <c r="T24" s="37" t="n"/>
      <c r="U24" s="38" t="n"/>
      <c r="V24" s="28" t="n">
        <v>20</v>
      </c>
      <c r="W24" s="37" t="n"/>
      <c r="X24" s="37" t="n"/>
      <c r="Y24" s="37" t="n"/>
      <c r="Z24" s="37" t="n"/>
      <c r="AA24" s="37" t="n"/>
      <c r="AB24" s="37" t="n"/>
      <c r="AC24" s="37" t="n"/>
      <c r="AD24" s="38" t="n"/>
    </row>
    <row r="25" ht="17.1" customHeight="1" s="36">
      <c r="G25" s="29" t="inlineStr">
        <is>
          <t>010</t>
        </is>
      </c>
      <c r="H25" s="37" t="n"/>
      <c r="I25" s="37" t="n"/>
      <c r="J25" s="37" t="n"/>
      <c r="K25" s="37" t="n"/>
      <c r="L25" s="37" t="n"/>
      <c r="M25" s="37" t="n"/>
      <c r="N25" s="37" t="n"/>
      <c r="O25" s="37" t="n"/>
      <c r="P25" s="38" t="n"/>
      <c r="Q25" s="28" t="inlineStr">
        <is>
          <t>ANNUL</t>
        </is>
      </c>
      <c r="R25" s="37" t="n"/>
      <c r="S25" s="37" t="n"/>
      <c r="T25" s="37" t="n"/>
      <c r="U25" s="38" t="n"/>
      <c r="V25" s="28" t="n">
        <v>249773</v>
      </c>
      <c r="W25" s="37" t="n"/>
      <c r="X25" s="37" t="n"/>
      <c r="Y25" s="37" t="n"/>
      <c r="Z25" s="37" t="n"/>
      <c r="AA25" s="37" t="n"/>
      <c r="AB25" s="37" t="n"/>
      <c r="AC25" s="37" t="n"/>
      <c r="AD25" s="38" t="n"/>
    </row>
    <row r="26" ht="17.1" customHeight="1" s="36">
      <c r="G26" s="29" t="inlineStr">
        <is>
          <t>010</t>
        </is>
      </c>
      <c r="H26" s="37" t="n"/>
      <c r="I26" s="37" t="n"/>
      <c r="J26" s="37" t="n"/>
      <c r="K26" s="37" t="n"/>
      <c r="L26" s="37" t="n"/>
      <c r="M26" s="37" t="n"/>
      <c r="N26" s="37" t="n"/>
      <c r="O26" s="37" t="n"/>
      <c r="P26" s="38" t="n"/>
      <c r="Q26" s="28" t="inlineStr">
        <is>
          <t>ARMEE</t>
        </is>
      </c>
      <c r="R26" s="37" t="n"/>
      <c r="S26" s="37" t="n"/>
      <c r="T26" s="37" t="n"/>
      <c r="U26" s="38" t="n"/>
      <c r="V26" s="28" t="n">
        <v>11</v>
      </c>
      <c r="W26" s="37" t="n"/>
      <c r="X26" s="37" t="n"/>
      <c r="Y26" s="37" t="n"/>
      <c r="Z26" s="37" t="n"/>
      <c r="AA26" s="37" t="n"/>
      <c r="AB26" s="37" t="n"/>
      <c r="AC26" s="37" t="n"/>
      <c r="AD26" s="38" t="n"/>
    </row>
    <row r="27" ht="17.1" customHeight="1" s="36">
      <c r="G27" s="29" t="inlineStr">
        <is>
          <t>000</t>
        </is>
      </c>
      <c r="H27" s="37" t="n"/>
      <c r="I27" s="37" t="n"/>
      <c r="J27" s="37" t="n"/>
      <c r="K27" s="37" t="n"/>
      <c r="L27" s="37" t="n"/>
      <c r="M27" s="37" t="n"/>
      <c r="N27" s="37" t="n"/>
      <c r="O27" s="37" t="n"/>
      <c r="P27" s="38" t="n"/>
      <c r="Q27" s="28" t="inlineStr">
        <is>
          <t>ARMEE</t>
        </is>
      </c>
      <c r="R27" s="37" t="n"/>
      <c r="S27" s="37" t="n"/>
      <c r="T27" s="37" t="n"/>
      <c r="U27" s="38" t="n"/>
      <c r="V27" s="28" t="n">
        <v>1</v>
      </c>
      <c r="W27" s="37" t="n"/>
      <c r="X27" s="37" t="n"/>
      <c r="Y27" s="37" t="n"/>
      <c r="Z27" s="37" t="n"/>
      <c r="AA27" s="37" t="n"/>
      <c r="AB27" s="37" t="n"/>
      <c r="AC27" s="37" t="n"/>
      <c r="AD27" s="38" t="n"/>
    </row>
    <row r="28" ht="17.1" customHeight="1" s="36">
      <c r="G28" s="29" t="inlineStr">
        <is>
          <t>010</t>
        </is>
      </c>
      <c r="H28" s="37" t="n"/>
      <c r="I28" s="37" t="n"/>
      <c r="J28" s="37" t="n"/>
      <c r="K28" s="37" t="n"/>
      <c r="L28" s="37" t="n"/>
      <c r="M28" s="37" t="n"/>
      <c r="N28" s="37" t="n"/>
      <c r="O28" s="37" t="n"/>
      <c r="P28" s="38" t="n"/>
      <c r="Q28" s="28" t="inlineStr">
        <is>
          <t>CCULT</t>
        </is>
      </c>
      <c r="R28" s="37" t="n"/>
      <c r="S28" s="37" t="n"/>
      <c r="T28" s="37" t="n"/>
      <c r="U28" s="38" t="n"/>
      <c r="V28" s="28" t="n">
        <v>101</v>
      </c>
      <c r="W28" s="37" t="n"/>
      <c r="X28" s="37" t="n"/>
      <c r="Y28" s="37" t="n"/>
      <c r="Z28" s="37" t="n"/>
      <c r="AA28" s="37" t="n"/>
      <c r="AB28" s="37" t="n"/>
      <c r="AC28" s="37" t="n"/>
      <c r="AD28" s="38" t="n"/>
    </row>
    <row r="29" ht="17.1" customHeight="1" s="36">
      <c r="G29" s="29" t="inlineStr">
        <is>
          <t>010</t>
        </is>
      </c>
      <c r="H29" s="37" t="n"/>
      <c r="I29" s="37" t="n"/>
      <c r="J29" s="37" t="n"/>
      <c r="K29" s="37" t="n"/>
      <c r="L29" s="37" t="n"/>
      <c r="M29" s="37" t="n"/>
      <c r="N29" s="37" t="n"/>
      <c r="O29" s="37" t="n"/>
      <c r="P29" s="38" t="n"/>
      <c r="Q29" s="28" t="inlineStr">
        <is>
          <t>CJUAD</t>
        </is>
      </c>
      <c r="R29" s="37" t="n"/>
      <c r="S29" s="37" t="n"/>
      <c r="T29" s="37" t="n"/>
      <c r="U29" s="38" t="n"/>
      <c r="V29" s="28" t="n">
        <v>8</v>
      </c>
      <c r="W29" s="37" t="n"/>
      <c r="X29" s="37" t="n"/>
      <c r="Y29" s="37" t="n"/>
      <c r="Z29" s="37" t="n"/>
      <c r="AA29" s="37" t="n"/>
      <c r="AB29" s="37" t="n"/>
      <c r="AC29" s="37" t="n"/>
      <c r="AD29" s="38" t="n"/>
    </row>
    <row r="30" ht="17.1" customHeight="1" s="36">
      <c r="G30" s="29" t="inlineStr">
        <is>
          <t>044</t>
        </is>
      </c>
      <c r="H30" s="37" t="n"/>
      <c r="I30" s="37" t="n"/>
      <c r="J30" s="37" t="n"/>
      <c r="K30" s="37" t="n"/>
      <c r="L30" s="37" t="n"/>
      <c r="M30" s="37" t="n"/>
      <c r="N30" s="37" t="n"/>
      <c r="O30" s="37" t="n"/>
      <c r="P30" s="38" t="n"/>
      <c r="Q30" s="28" t="inlineStr">
        <is>
          <t>CJUAD</t>
        </is>
      </c>
      <c r="R30" s="37" t="n"/>
      <c r="S30" s="37" t="n"/>
      <c r="T30" s="37" t="n"/>
      <c r="U30" s="38" t="n"/>
      <c r="V30" s="28" t="n">
        <v>2</v>
      </c>
      <c r="W30" s="37" t="n"/>
      <c r="X30" s="37" t="n"/>
      <c r="Y30" s="37" t="n"/>
      <c r="Z30" s="37" t="n"/>
      <c r="AA30" s="37" t="n"/>
      <c r="AB30" s="37" t="n"/>
      <c r="AC30" s="37" t="n"/>
      <c r="AD30" s="38" t="n"/>
    </row>
    <row r="31" ht="17.1" customHeight="1" s="36">
      <c r="G31" s="29" t="inlineStr">
        <is>
          <t>010</t>
        </is>
      </c>
      <c r="H31" s="37" t="n"/>
      <c r="I31" s="37" t="n"/>
      <c r="J31" s="37" t="n"/>
      <c r="K31" s="37" t="n"/>
      <c r="L31" s="37" t="n"/>
      <c r="M31" s="37" t="n"/>
      <c r="N31" s="37" t="n"/>
      <c r="O31" s="37" t="n"/>
      <c r="P31" s="38" t="n"/>
      <c r="Q31" s="28" t="inlineStr">
        <is>
          <t>CMEAE</t>
        </is>
      </c>
      <c r="R31" s="37" t="n"/>
      <c r="S31" s="37" t="n"/>
      <c r="T31" s="37" t="n"/>
      <c r="U31" s="38" t="n"/>
      <c r="V31" s="28" t="n">
        <v>6</v>
      </c>
      <c r="W31" s="37" t="n"/>
      <c r="X31" s="37" t="n"/>
      <c r="Y31" s="37" t="n"/>
      <c r="Z31" s="37" t="n"/>
      <c r="AA31" s="37" t="n"/>
      <c r="AB31" s="37" t="n"/>
      <c r="AC31" s="37" t="n"/>
      <c r="AD31" s="38" t="n"/>
    </row>
    <row r="32" ht="17.1" customHeight="1" s="36">
      <c r="G32" s="29" t="inlineStr">
        <is>
          <t>044</t>
        </is>
      </c>
      <c r="H32" s="37" t="n"/>
      <c r="I32" s="37" t="n"/>
      <c r="J32" s="37" t="n"/>
      <c r="K32" s="37" t="n"/>
      <c r="L32" s="37" t="n"/>
      <c r="M32" s="37" t="n"/>
      <c r="N32" s="37" t="n"/>
      <c r="O32" s="37" t="n"/>
      <c r="P32" s="38" t="n"/>
      <c r="Q32" s="28" t="inlineStr">
        <is>
          <t>CMEAE</t>
        </is>
      </c>
      <c r="R32" s="37" t="n"/>
      <c r="S32" s="37" t="n"/>
      <c r="T32" s="37" t="n"/>
      <c r="U32" s="38" t="n"/>
      <c r="V32" s="28" t="n">
        <v>6</v>
      </c>
      <c r="W32" s="37" t="n"/>
      <c r="X32" s="37" t="n"/>
      <c r="Y32" s="37" t="n"/>
      <c r="Z32" s="37" t="n"/>
      <c r="AA32" s="37" t="n"/>
      <c r="AB32" s="37" t="n"/>
      <c r="AC32" s="37" t="n"/>
      <c r="AD32" s="38" t="n"/>
    </row>
    <row r="33" ht="17.1" customHeight="1" s="36">
      <c r="G33" s="29" t="inlineStr">
        <is>
          <t>000</t>
        </is>
      </c>
      <c r="H33" s="37" t="n"/>
      <c r="I33" s="37" t="n"/>
      <c r="J33" s="37" t="n"/>
      <c r="K33" s="37" t="n"/>
      <c r="L33" s="37" t="n"/>
      <c r="M33" s="37" t="n"/>
      <c r="N33" s="37" t="n"/>
      <c r="O33" s="37" t="n"/>
      <c r="P33" s="38" t="n"/>
      <c r="Q33" s="28" t="inlineStr">
        <is>
          <t>CMEN</t>
        </is>
      </c>
      <c r="R33" s="37" t="n"/>
      <c r="S33" s="37" t="n"/>
      <c r="T33" s="37" t="n"/>
      <c r="U33" s="38" t="n"/>
      <c r="V33" s="28" t="n">
        <v>55</v>
      </c>
      <c r="W33" s="37" t="n"/>
      <c r="X33" s="37" t="n"/>
      <c r="Y33" s="37" t="n"/>
      <c r="Z33" s="37" t="n"/>
      <c r="AA33" s="37" t="n"/>
      <c r="AB33" s="37" t="n"/>
      <c r="AC33" s="37" t="n"/>
      <c r="AD33" s="38" t="n"/>
    </row>
    <row r="34" ht="17.1" customHeight="1" s="36">
      <c r="G34" s="29" t="inlineStr">
        <is>
          <t>010</t>
        </is>
      </c>
      <c r="H34" s="37" t="n"/>
      <c r="I34" s="37" t="n"/>
      <c r="J34" s="37" t="n"/>
      <c r="K34" s="37" t="n"/>
      <c r="L34" s="37" t="n"/>
      <c r="M34" s="37" t="n"/>
      <c r="N34" s="37" t="n"/>
      <c r="O34" s="37" t="n"/>
      <c r="P34" s="38" t="n"/>
      <c r="Q34" s="28" t="inlineStr">
        <is>
          <t>CMEN</t>
        </is>
      </c>
      <c r="R34" s="37" t="n"/>
      <c r="S34" s="37" t="n"/>
      <c r="T34" s="37" t="n"/>
      <c r="U34" s="38" t="n"/>
      <c r="V34" s="28" t="n">
        <v>5609</v>
      </c>
      <c r="W34" s="37" t="n"/>
      <c r="X34" s="37" t="n"/>
      <c r="Y34" s="37" t="n"/>
      <c r="Z34" s="37" t="n"/>
      <c r="AA34" s="37" t="n"/>
      <c r="AB34" s="37" t="n"/>
      <c r="AC34" s="37" t="n"/>
      <c r="AD34" s="38" t="n"/>
    </row>
    <row r="35" ht="17.1" customHeight="1" s="36">
      <c r="G35" s="29" t="inlineStr">
        <is>
          <t>044</t>
        </is>
      </c>
      <c r="H35" s="37" t="n"/>
      <c r="I35" s="37" t="n"/>
      <c r="J35" s="37" t="n"/>
      <c r="K35" s="37" t="n"/>
      <c r="L35" s="37" t="n"/>
      <c r="M35" s="37" t="n"/>
      <c r="N35" s="37" t="n"/>
      <c r="O35" s="37" t="n"/>
      <c r="P35" s="38" t="n"/>
      <c r="Q35" s="28" t="inlineStr">
        <is>
          <t>CMEN</t>
        </is>
      </c>
      <c r="R35" s="37" t="n"/>
      <c r="S35" s="37" t="n"/>
      <c r="T35" s="37" t="n"/>
      <c r="U35" s="38" t="n"/>
      <c r="V35" s="28" t="n">
        <v>7</v>
      </c>
      <c r="W35" s="37" t="n"/>
      <c r="X35" s="37" t="n"/>
      <c r="Y35" s="37" t="n"/>
      <c r="Z35" s="37" t="n"/>
      <c r="AA35" s="37" t="n"/>
      <c r="AB35" s="37" t="n"/>
      <c r="AC35" s="37" t="n"/>
      <c r="AD35" s="38" t="n"/>
    </row>
    <row r="36" ht="17.1" customHeight="1" s="36">
      <c r="G36" s="29" t="inlineStr">
        <is>
          <t>010</t>
        </is>
      </c>
      <c r="H36" s="37" t="n"/>
      <c r="I36" s="37" t="n"/>
      <c r="J36" s="37" t="n"/>
      <c r="K36" s="37" t="n"/>
      <c r="L36" s="37" t="n"/>
      <c r="M36" s="37" t="n"/>
      <c r="N36" s="37" t="n"/>
      <c r="O36" s="37" t="n"/>
      <c r="P36" s="38" t="n"/>
      <c r="Q36" s="28" t="inlineStr">
        <is>
          <t>CMGAS</t>
        </is>
      </c>
      <c r="R36" s="37" t="n"/>
      <c r="S36" s="37" t="n"/>
      <c r="T36" s="37" t="n"/>
      <c r="U36" s="38" t="n"/>
      <c r="V36" s="28" t="n">
        <v>3</v>
      </c>
      <c r="W36" s="37" t="n"/>
      <c r="X36" s="37" t="n"/>
      <c r="Y36" s="37" t="n"/>
      <c r="Z36" s="37" t="n"/>
      <c r="AA36" s="37" t="n"/>
      <c r="AB36" s="37" t="n"/>
      <c r="AC36" s="37" t="n"/>
      <c r="AD36" s="38" t="n"/>
    </row>
    <row r="37" ht="17.1" customHeight="1" s="36">
      <c r="G37" s="29" t="inlineStr">
        <is>
          <t>052</t>
        </is>
      </c>
      <c r="H37" s="37" t="n"/>
      <c r="I37" s="37" t="n"/>
      <c r="J37" s="37" t="n"/>
      <c r="K37" s="37" t="n"/>
      <c r="L37" s="37" t="n"/>
      <c r="M37" s="37" t="n"/>
      <c r="N37" s="37" t="n"/>
      <c r="O37" s="37" t="n"/>
      <c r="P37" s="38" t="n"/>
      <c r="Q37" s="28" t="inlineStr">
        <is>
          <t>COLLO</t>
        </is>
      </c>
      <c r="R37" s="37" t="n"/>
      <c r="S37" s="37" t="n"/>
      <c r="T37" s="37" t="n"/>
      <c r="U37" s="38" t="n"/>
      <c r="V37" s="28" t="n">
        <v>26</v>
      </c>
      <c r="W37" s="37" t="n"/>
      <c r="X37" s="37" t="n"/>
      <c r="Y37" s="37" t="n"/>
      <c r="Z37" s="37" t="n"/>
      <c r="AA37" s="37" t="n"/>
      <c r="AB37" s="37" t="n"/>
      <c r="AC37" s="37" t="n"/>
      <c r="AD37" s="38" t="n"/>
    </row>
    <row r="38" ht="17.1" customHeight="1" s="36">
      <c r="G38" s="29" t="inlineStr">
        <is>
          <t>010</t>
        </is>
      </c>
      <c r="H38" s="37" t="n"/>
      <c r="I38" s="37" t="n"/>
      <c r="J38" s="37" t="n"/>
      <c r="K38" s="37" t="n"/>
      <c r="L38" s="37" t="n"/>
      <c r="M38" s="37" t="n"/>
      <c r="N38" s="37" t="n"/>
      <c r="O38" s="37" t="n"/>
      <c r="P38" s="38" t="n"/>
      <c r="Q38" s="28" t="inlineStr">
        <is>
          <t>COLLO</t>
        </is>
      </c>
      <c r="R38" s="37" t="n"/>
      <c r="S38" s="37" t="n"/>
      <c r="T38" s="37" t="n"/>
      <c r="U38" s="38" t="n"/>
      <c r="V38" s="28" t="n">
        <v>1644</v>
      </c>
      <c r="W38" s="37" t="n"/>
      <c r="X38" s="37" t="n"/>
      <c r="Y38" s="37" t="n"/>
      <c r="Z38" s="37" t="n"/>
      <c r="AA38" s="37" t="n"/>
      <c r="AB38" s="37" t="n"/>
      <c r="AC38" s="37" t="n"/>
      <c r="AD38" s="38" t="n"/>
    </row>
    <row r="39" ht="17.1" customHeight="1" s="36">
      <c r="G39" s="29" t="inlineStr">
        <is>
          <t>044</t>
        </is>
      </c>
      <c r="H39" s="37" t="n"/>
      <c r="I39" s="37" t="n"/>
      <c r="J39" s="37" t="n"/>
      <c r="K39" s="37" t="n"/>
      <c r="L39" s="37" t="n"/>
      <c r="M39" s="37" t="n"/>
      <c r="N39" s="37" t="n"/>
      <c r="O39" s="37" t="n"/>
      <c r="P39" s="38" t="n"/>
      <c r="Q39" s="28" t="inlineStr">
        <is>
          <t>COLLO</t>
        </is>
      </c>
      <c r="R39" s="37" t="n"/>
      <c r="S39" s="37" t="n"/>
      <c r="T39" s="37" t="n"/>
      <c r="U39" s="38" t="n"/>
      <c r="V39" s="28" t="n">
        <v>37</v>
      </c>
      <c r="W39" s="37" t="n"/>
      <c r="X39" s="37" t="n"/>
      <c r="Y39" s="37" t="n"/>
      <c r="Z39" s="37" t="n"/>
      <c r="AA39" s="37" t="n"/>
      <c r="AB39" s="37" t="n"/>
      <c r="AC39" s="37" t="n"/>
      <c r="AD39" s="38" t="n"/>
    </row>
    <row r="40" ht="17.1" customHeight="1" s="36">
      <c r="G40" s="29" t="inlineStr">
        <is>
          <t>000</t>
        </is>
      </c>
      <c r="H40" s="37" t="n"/>
      <c r="I40" s="37" t="n"/>
      <c r="J40" s="37" t="n"/>
      <c r="K40" s="37" t="n"/>
      <c r="L40" s="37" t="n"/>
      <c r="M40" s="37" t="n"/>
      <c r="N40" s="37" t="n"/>
      <c r="O40" s="37" t="n"/>
      <c r="P40" s="38" t="n"/>
      <c r="Q40" s="28" t="inlineStr">
        <is>
          <t>COLLO</t>
        </is>
      </c>
      <c r="R40" s="37" t="n"/>
      <c r="S40" s="37" t="n"/>
      <c r="T40" s="37" t="n"/>
      <c r="U40" s="38" t="n"/>
      <c r="V40" s="28" t="n">
        <v>19</v>
      </c>
      <c r="W40" s="37" t="n"/>
      <c r="X40" s="37" t="n"/>
      <c r="Y40" s="37" t="n"/>
      <c r="Z40" s="37" t="n"/>
      <c r="AA40" s="37" t="n"/>
      <c r="AB40" s="37" t="n"/>
      <c r="AC40" s="37" t="n"/>
      <c r="AD40" s="38" t="n"/>
    </row>
    <row r="41" ht="17.1" customHeight="1" s="36">
      <c r="G41" s="29" t="inlineStr">
        <is>
          <t>010</t>
        </is>
      </c>
      <c r="H41" s="37" t="n"/>
      <c r="I41" s="37" t="n"/>
      <c r="J41" s="37" t="n"/>
      <c r="K41" s="37" t="n"/>
      <c r="L41" s="37" t="n"/>
      <c r="M41" s="37" t="n"/>
      <c r="N41" s="37" t="n"/>
      <c r="O41" s="37" t="n"/>
      <c r="P41" s="38" t="n"/>
      <c r="Q41" s="28" t="inlineStr">
        <is>
          <t>CONC</t>
        </is>
      </c>
      <c r="R41" s="37" t="n"/>
      <c r="S41" s="37" t="n"/>
      <c r="T41" s="37" t="n"/>
      <c r="U41" s="38" t="n"/>
      <c r="V41" s="28" t="n">
        <v>5846</v>
      </c>
      <c r="W41" s="37" t="n"/>
      <c r="X41" s="37" t="n"/>
      <c r="Y41" s="37" t="n"/>
      <c r="Z41" s="37" t="n"/>
      <c r="AA41" s="37" t="n"/>
      <c r="AB41" s="37" t="n"/>
      <c r="AC41" s="37" t="n"/>
      <c r="AD41" s="38" t="n"/>
    </row>
    <row r="42" ht="17.1" customHeight="1" s="36">
      <c r="G42" s="29" t="inlineStr">
        <is>
          <t>052</t>
        </is>
      </c>
      <c r="H42" s="37" t="n"/>
      <c r="I42" s="37" t="n"/>
      <c r="J42" s="37" t="n"/>
      <c r="K42" s="37" t="n"/>
      <c r="L42" s="37" t="n"/>
      <c r="M42" s="37" t="n"/>
      <c r="N42" s="37" t="n"/>
      <c r="O42" s="37" t="n"/>
      <c r="P42" s="38" t="n"/>
      <c r="Q42" s="28" t="inlineStr">
        <is>
          <t>CONC</t>
        </is>
      </c>
      <c r="R42" s="37" t="n"/>
      <c r="S42" s="37" t="n"/>
      <c r="T42" s="37" t="n"/>
      <c r="U42" s="38" t="n"/>
      <c r="V42" s="28" t="n">
        <v>5</v>
      </c>
      <c r="W42" s="37" t="n"/>
      <c r="X42" s="37" t="n"/>
      <c r="Y42" s="37" t="n"/>
      <c r="Z42" s="37" t="n"/>
      <c r="AA42" s="37" t="n"/>
      <c r="AB42" s="37" t="n"/>
      <c r="AC42" s="37" t="n"/>
      <c r="AD42" s="38" t="n"/>
    </row>
    <row r="43" ht="17.1" customHeight="1" s="36">
      <c r="G43" s="29" t="inlineStr">
        <is>
          <t>044</t>
        </is>
      </c>
      <c r="H43" s="37" t="n"/>
      <c r="I43" s="37" t="n"/>
      <c r="J43" s="37" t="n"/>
      <c r="K43" s="37" t="n"/>
      <c r="L43" s="37" t="n"/>
      <c r="M43" s="37" t="n"/>
      <c r="N43" s="37" t="n"/>
      <c r="O43" s="37" t="n"/>
      <c r="P43" s="38" t="n"/>
      <c r="Q43" s="28" t="inlineStr">
        <is>
          <t>CONC</t>
        </is>
      </c>
      <c r="R43" s="37" t="n"/>
      <c r="S43" s="37" t="n"/>
      <c r="T43" s="37" t="n"/>
      <c r="U43" s="38" t="n"/>
      <c r="V43" s="28" t="n">
        <v>47</v>
      </c>
      <c r="W43" s="37" t="n"/>
      <c r="X43" s="37" t="n"/>
      <c r="Y43" s="37" t="n"/>
      <c r="Z43" s="37" t="n"/>
      <c r="AA43" s="37" t="n"/>
      <c r="AB43" s="37" t="n"/>
      <c r="AC43" s="37" t="n"/>
      <c r="AD43" s="38" t="n"/>
    </row>
    <row r="44" ht="17.1" customHeight="1" s="36">
      <c r="G44" s="29" t="inlineStr">
        <is>
          <t>000</t>
        </is>
      </c>
      <c r="H44" s="37" t="n"/>
      <c r="I44" s="37" t="n"/>
      <c r="J44" s="37" t="n"/>
      <c r="K44" s="37" t="n"/>
      <c r="L44" s="37" t="n"/>
      <c r="M44" s="37" t="n"/>
      <c r="N44" s="37" t="n"/>
      <c r="O44" s="37" t="n"/>
      <c r="P44" s="38" t="n"/>
      <c r="Q44" s="28" t="inlineStr">
        <is>
          <t>CONC</t>
        </is>
      </c>
      <c r="R44" s="37" t="n"/>
      <c r="S44" s="37" t="n"/>
      <c r="T44" s="37" t="n"/>
      <c r="U44" s="38" t="n"/>
      <c r="V44" s="28" t="n">
        <v>21</v>
      </c>
      <c r="W44" s="37" t="n"/>
      <c r="X44" s="37" t="n"/>
      <c r="Y44" s="37" t="n"/>
      <c r="Z44" s="37" t="n"/>
      <c r="AA44" s="37" t="n"/>
      <c r="AB44" s="37" t="n"/>
      <c r="AC44" s="37" t="n"/>
      <c r="AD44" s="38" t="n"/>
    </row>
    <row r="45" ht="17.1" customHeight="1" s="36">
      <c r="G45" s="29" t="inlineStr">
        <is>
          <t>044</t>
        </is>
      </c>
      <c r="H45" s="37" t="n"/>
      <c r="I45" s="37" t="n"/>
      <c r="J45" s="37" t="n"/>
      <c r="K45" s="37" t="n"/>
      <c r="L45" s="37" t="n"/>
      <c r="M45" s="37" t="n"/>
      <c r="N45" s="37" t="n"/>
      <c r="O45" s="37" t="n"/>
      <c r="P45" s="38" t="n"/>
      <c r="Q45" s="28" t="inlineStr">
        <is>
          <t>COT+</t>
        </is>
      </c>
      <c r="R45" s="37" t="n"/>
      <c r="S45" s="37" t="n"/>
      <c r="T45" s="37" t="n"/>
      <c r="U45" s="38" t="n"/>
      <c r="V45" s="28" t="n">
        <v>3</v>
      </c>
      <c r="W45" s="37" t="n"/>
      <c r="X45" s="37" t="n"/>
      <c r="Y45" s="37" t="n"/>
      <c r="Z45" s="37" t="n"/>
      <c r="AA45" s="37" t="n"/>
      <c r="AB45" s="37" t="n"/>
      <c r="AC45" s="37" t="n"/>
      <c r="AD45" s="38" t="n"/>
    </row>
    <row r="46" ht="17.1" customHeight="1" s="36">
      <c r="G46" s="29" t="inlineStr">
        <is>
          <t>010</t>
        </is>
      </c>
      <c r="H46" s="37" t="n"/>
      <c r="I46" s="37" t="n"/>
      <c r="J46" s="37" t="n"/>
      <c r="K46" s="37" t="n"/>
      <c r="L46" s="37" t="n"/>
      <c r="M46" s="37" t="n"/>
      <c r="N46" s="37" t="n"/>
      <c r="O46" s="37" t="n"/>
      <c r="P46" s="38" t="n"/>
      <c r="Q46" s="28" t="inlineStr">
        <is>
          <t>COT+</t>
        </is>
      </c>
      <c r="R46" s="37" t="n"/>
      <c r="S46" s="37" t="n"/>
      <c r="T46" s="37" t="n"/>
      <c r="U46" s="38" t="n"/>
      <c r="V46" s="28" t="n">
        <v>197</v>
      </c>
      <c r="W46" s="37" t="n"/>
      <c r="X46" s="37" t="n"/>
      <c r="Y46" s="37" t="n"/>
      <c r="Z46" s="37" t="n"/>
      <c r="AA46" s="37" t="n"/>
      <c r="AB46" s="37" t="n"/>
      <c r="AC46" s="37" t="n"/>
      <c r="AD46" s="38" t="n"/>
    </row>
    <row r="47" ht="17.1" customHeight="1" s="36">
      <c r="G47" s="29" t="inlineStr">
        <is>
          <t>000</t>
        </is>
      </c>
      <c r="H47" s="37" t="n"/>
      <c r="I47" s="37" t="n"/>
      <c r="J47" s="37" t="n"/>
      <c r="K47" s="37" t="n"/>
      <c r="L47" s="37" t="n"/>
      <c r="M47" s="37" t="n"/>
      <c r="N47" s="37" t="n"/>
      <c r="O47" s="37" t="n"/>
      <c r="P47" s="38" t="n"/>
      <c r="Q47" s="28" t="inlineStr">
        <is>
          <t>COT+</t>
        </is>
      </c>
      <c r="R47" s="37" t="n"/>
      <c r="S47" s="37" t="n"/>
      <c r="T47" s="37" t="n"/>
      <c r="U47" s="38" t="n"/>
      <c r="V47" s="28" t="n">
        <v>3</v>
      </c>
      <c r="W47" s="37" t="n"/>
      <c r="X47" s="37" t="n"/>
      <c r="Y47" s="37" t="n"/>
      <c r="Z47" s="37" t="n"/>
      <c r="AA47" s="37" t="n"/>
      <c r="AB47" s="37" t="n"/>
      <c r="AC47" s="37" t="n"/>
      <c r="AD47" s="38" t="n"/>
    </row>
    <row r="48" ht="17.1" customHeight="1" s="36">
      <c r="G48" s="29" t="inlineStr">
        <is>
          <t>052</t>
        </is>
      </c>
      <c r="H48" s="37" t="n"/>
      <c r="I48" s="37" t="n"/>
      <c r="J48" s="37" t="n"/>
      <c r="K48" s="37" t="n"/>
      <c r="L48" s="37" t="n"/>
      <c r="M48" s="37" t="n"/>
      <c r="N48" s="37" t="n"/>
      <c r="O48" s="37" t="n"/>
      <c r="P48" s="38" t="n"/>
      <c r="Q48" s="28" t="inlineStr">
        <is>
          <t>CSS</t>
        </is>
      </c>
      <c r="R48" s="37" t="n"/>
      <c r="S48" s="37" t="n"/>
      <c r="T48" s="37" t="n"/>
      <c r="U48" s="38" t="n"/>
      <c r="V48" s="28" t="n">
        <v>3</v>
      </c>
      <c r="W48" s="37" t="n"/>
      <c r="X48" s="37" t="n"/>
      <c r="Y48" s="37" t="n"/>
      <c r="Z48" s="37" t="n"/>
      <c r="AA48" s="37" t="n"/>
      <c r="AB48" s="37" t="n"/>
      <c r="AC48" s="37" t="n"/>
      <c r="AD48" s="38" t="n"/>
    </row>
    <row r="49" ht="17.1" customHeight="1" s="36">
      <c r="G49" s="29" t="inlineStr">
        <is>
          <t>000</t>
        </is>
      </c>
      <c r="H49" s="37" t="n"/>
      <c r="I49" s="37" t="n"/>
      <c r="J49" s="37" t="n"/>
      <c r="K49" s="37" t="n"/>
      <c r="L49" s="37" t="n"/>
      <c r="M49" s="37" t="n"/>
      <c r="N49" s="37" t="n"/>
      <c r="O49" s="37" t="n"/>
      <c r="P49" s="38" t="n"/>
      <c r="Q49" s="28" t="inlineStr">
        <is>
          <t>CSS</t>
        </is>
      </c>
      <c r="R49" s="37" t="n"/>
      <c r="S49" s="37" t="n"/>
      <c r="T49" s="37" t="n"/>
      <c r="U49" s="38" t="n"/>
      <c r="V49" s="28" t="n">
        <v>6</v>
      </c>
      <c r="W49" s="37" t="n"/>
      <c r="X49" s="37" t="n"/>
      <c r="Y49" s="37" t="n"/>
      <c r="Z49" s="37" t="n"/>
      <c r="AA49" s="37" t="n"/>
      <c r="AB49" s="37" t="n"/>
      <c r="AC49" s="37" t="n"/>
      <c r="AD49" s="38" t="n"/>
    </row>
    <row r="50" ht="17.1" customHeight="1" s="36">
      <c r="G50" s="29" t="inlineStr">
        <is>
          <t>044</t>
        </is>
      </c>
      <c r="H50" s="37" t="n"/>
      <c r="I50" s="37" t="n"/>
      <c r="J50" s="37" t="n"/>
      <c r="K50" s="37" t="n"/>
      <c r="L50" s="37" t="n"/>
      <c r="M50" s="37" t="n"/>
      <c r="N50" s="37" t="n"/>
      <c r="O50" s="37" t="n"/>
      <c r="P50" s="38" t="n"/>
      <c r="Q50" s="28" t="inlineStr">
        <is>
          <t>CSS</t>
        </is>
      </c>
      <c r="R50" s="37" t="n"/>
      <c r="S50" s="37" t="n"/>
      <c r="T50" s="37" t="n"/>
      <c r="U50" s="38" t="n"/>
      <c r="V50" s="28" t="n">
        <v>2</v>
      </c>
      <c r="W50" s="37" t="n"/>
      <c r="X50" s="37" t="n"/>
      <c r="Y50" s="37" t="n"/>
      <c r="Z50" s="37" t="n"/>
      <c r="AA50" s="37" t="n"/>
      <c r="AB50" s="37" t="n"/>
      <c r="AC50" s="37" t="n"/>
      <c r="AD50" s="38" t="n"/>
    </row>
    <row r="51" ht="17.1" customHeight="1" s="36">
      <c r="G51" s="29" t="inlineStr">
        <is>
          <t>010</t>
        </is>
      </c>
      <c r="H51" s="37" t="n"/>
      <c r="I51" s="37" t="n"/>
      <c r="J51" s="37" t="n"/>
      <c r="K51" s="37" t="n"/>
      <c r="L51" s="37" t="n"/>
      <c r="M51" s="37" t="n"/>
      <c r="N51" s="37" t="n"/>
      <c r="O51" s="37" t="n"/>
      <c r="P51" s="38" t="n"/>
      <c r="Q51" s="28" t="inlineStr">
        <is>
          <t>CSS</t>
        </is>
      </c>
      <c r="R51" s="37" t="n"/>
      <c r="S51" s="37" t="n"/>
      <c r="T51" s="37" t="n"/>
      <c r="U51" s="38" t="n"/>
      <c r="V51" s="28" t="n">
        <v>854</v>
      </c>
      <c r="W51" s="37" t="n"/>
      <c r="X51" s="37" t="n"/>
      <c r="Y51" s="37" t="n"/>
      <c r="Z51" s="37" t="n"/>
      <c r="AA51" s="37" t="n"/>
      <c r="AB51" s="37" t="n"/>
      <c r="AC51" s="37" t="n"/>
      <c r="AD51" s="38" t="n"/>
    </row>
    <row r="52" ht="17.1" customHeight="1" s="36">
      <c r="G52" s="29" t="inlineStr">
        <is>
          <t>073</t>
        </is>
      </c>
      <c r="H52" s="37" t="n"/>
      <c r="I52" s="37" t="n"/>
      <c r="J52" s="37" t="n"/>
      <c r="K52" s="37" t="n"/>
      <c r="L52" s="37" t="n"/>
      <c r="M52" s="37" t="n"/>
      <c r="N52" s="37" t="n"/>
      <c r="O52" s="37" t="n"/>
      <c r="P52" s="38" t="n"/>
      <c r="Q52" s="28" t="inlineStr">
        <is>
          <t>DECES</t>
        </is>
      </c>
      <c r="R52" s="37" t="n"/>
      <c r="S52" s="37" t="n"/>
      <c r="T52" s="37" t="n"/>
      <c r="U52" s="38" t="n"/>
      <c r="V52" s="28" t="n">
        <v>1</v>
      </c>
      <c r="W52" s="37" t="n"/>
      <c r="X52" s="37" t="n"/>
      <c r="Y52" s="37" t="n"/>
      <c r="Z52" s="37" t="n"/>
      <c r="AA52" s="37" t="n"/>
      <c r="AB52" s="37" t="n"/>
      <c r="AC52" s="37" t="n"/>
      <c r="AD52" s="38" t="n"/>
    </row>
    <row r="53" ht="17.1" customHeight="1" s="36">
      <c r="G53" s="29" t="inlineStr">
        <is>
          <t>010</t>
        </is>
      </c>
      <c r="H53" s="37" t="n"/>
      <c r="I53" s="37" t="n"/>
      <c r="J53" s="37" t="n"/>
      <c r="K53" s="37" t="n"/>
      <c r="L53" s="37" t="n"/>
      <c r="M53" s="37" t="n"/>
      <c r="N53" s="37" t="n"/>
      <c r="O53" s="37" t="n"/>
      <c r="P53" s="38" t="n"/>
      <c r="Q53" s="28" t="inlineStr">
        <is>
          <t>DECES</t>
        </is>
      </c>
      <c r="R53" s="37" t="n"/>
      <c r="S53" s="37" t="n"/>
      <c r="T53" s="37" t="n"/>
      <c r="U53" s="38" t="n"/>
      <c r="V53" s="28" t="n">
        <v>13052</v>
      </c>
      <c r="W53" s="37" t="n"/>
      <c r="X53" s="37" t="n"/>
      <c r="Y53" s="37" t="n"/>
      <c r="Z53" s="37" t="n"/>
      <c r="AA53" s="37" t="n"/>
      <c r="AB53" s="37" t="n"/>
      <c r="AC53" s="37" t="n"/>
      <c r="AD53" s="38" t="n"/>
    </row>
    <row r="54" ht="17.1" customHeight="1" s="36">
      <c r="G54" s="29" t="inlineStr">
        <is>
          <t>000</t>
        </is>
      </c>
      <c r="H54" s="37" t="n"/>
      <c r="I54" s="37" t="n"/>
      <c r="J54" s="37" t="n"/>
      <c r="K54" s="37" t="n"/>
      <c r="L54" s="37" t="n"/>
      <c r="M54" s="37" t="n"/>
      <c r="N54" s="37" t="n"/>
      <c r="O54" s="37" t="n"/>
      <c r="P54" s="38" t="n"/>
      <c r="Q54" s="28" t="inlineStr">
        <is>
          <t>DECES</t>
        </is>
      </c>
      <c r="R54" s="37" t="n"/>
      <c r="S54" s="37" t="n"/>
      <c r="T54" s="37" t="n"/>
      <c r="U54" s="38" t="n"/>
      <c r="V54" s="28" t="n">
        <v>33</v>
      </c>
      <c r="W54" s="37" t="n"/>
      <c r="X54" s="37" t="n"/>
      <c r="Y54" s="37" t="n"/>
      <c r="Z54" s="37" t="n"/>
      <c r="AA54" s="37" t="n"/>
      <c r="AB54" s="37" t="n"/>
      <c r="AC54" s="37" t="n"/>
      <c r="AD54" s="38" t="n"/>
    </row>
    <row r="55" ht="17.1" customHeight="1" s="36">
      <c r="G55" s="29" t="inlineStr">
        <is>
          <t>052</t>
        </is>
      </c>
      <c r="H55" s="37" t="n"/>
      <c r="I55" s="37" t="n"/>
      <c r="J55" s="37" t="n"/>
      <c r="K55" s="37" t="n"/>
      <c r="L55" s="37" t="n"/>
      <c r="M55" s="37" t="n"/>
      <c r="N55" s="37" t="n"/>
      <c r="O55" s="37" t="n"/>
      <c r="P55" s="38" t="n"/>
      <c r="Q55" s="28" t="inlineStr">
        <is>
          <t>DECES</t>
        </is>
      </c>
      <c r="R55" s="37" t="n"/>
      <c r="S55" s="37" t="n"/>
      <c r="T55" s="37" t="n"/>
      <c r="U55" s="38" t="n"/>
      <c r="V55" s="28" t="n">
        <v>5</v>
      </c>
      <c r="W55" s="37" t="n"/>
      <c r="X55" s="37" t="n"/>
      <c r="Y55" s="37" t="n"/>
      <c r="Z55" s="37" t="n"/>
      <c r="AA55" s="37" t="n"/>
      <c r="AB55" s="37" t="n"/>
      <c r="AC55" s="37" t="n"/>
      <c r="AD55" s="38" t="n"/>
    </row>
    <row r="56" ht="17.1" customHeight="1" s="36">
      <c r="G56" s="29" t="inlineStr">
        <is>
          <t>044</t>
        </is>
      </c>
      <c r="H56" s="37" t="n"/>
      <c r="I56" s="37" t="n"/>
      <c r="J56" s="37" t="n"/>
      <c r="K56" s="37" t="n"/>
      <c r="L56" s="37" t="n"/>
      <c r="M56" s="37" t="n"/>
      <c r="N56" s="37" t="n"/>
      <c r="O56" s="37" t="n"/>
      <c r="P56" s="38" t="n"/>
      <c r="Q56" s="28" t="inlineStr">
        <is>
          <t>DECES</t>
        </is>
      </c>
      <c r="R56" s="37" t="n"/>
      <c r="S56" s="37" t="n"/>
      <c r="T56" s="37" t="n"/>
      <c r="U56" s="38" t="n"/>
      <c r="V56" s="28" t="n">
        <v>100</v>
      </c>
      <c r="W56" s="37" t="n"/>
      <c r="X56" s="37" t="n"/>
      <c r="Y56" s="37" t="n"/>
      <c r="Z56" s="37" t="n"/>
      <c r="AA56" s="37" t="n"/>
      <c r="AB56" s="37" t="n"/>
      <c r="AC56" s="37" t="n"/>
      <c r="AD56" s="38" t="n"/>
    </row>
    <row r="57" ht="17.1" customHeight="1" s="36">
      <c r="G57" s="29" t="inlineStr">
        <is>
          <t>073</t>
        </is>
      </c>
      <c r="H57" s="37" t="n"/>
      <c r="I57" s="37" t="n"/>
      <c r="J57" s="37" t="n"/>
      <c r="K57" s="37" t="n"/>
      <c r="L57" s="37" t="n"/>
      <c r="M57" s="37" t="n"/>
      <c r="N57" s="37" t="n"/>
      <c r="O57" s="37" t="n"/>
      <c r="P57" s="38" t="n"/>
      <c r="Q57" s="28" t="inlineStr">
        <is>
          <t>DEM</t>
        </is>
      </c>
      <c r="R57" s="37" t="n"/>
      <c r="S57" s="37" t="n"/>
      <c r="T57" s="37" t="n"/>
      <c r="U57" s="38" t="n"/>
      <c r="V57" s="28" t="n">
        <v>1</v>
      </c>
      <c r="W57" s="37" t="n"/>
      <c r="X57" s="37" t="n"/>
      <c r="Y57" s="37" t="n"/>
      <c r="Z57" s="37" t="n"/>
      <c r="AA57" s="37" t="n"/>
      <c r="AB57" s="37" t="n"/>
      <c r="AC57" s="37" t="n"/>
      <c r="AD57" s="38" t="n"/>
    </row>
    <row r="58" ht="17.1" customHeight="1" s="36">
      <c r="G58" s="29" t="inlineStr">
        <is>
          <t>010</t>
        </is>
      </c>
      <c r="H58" s="37" t="n"/>
      <c r="I58" s="37" t="n"/>
      <c r="J58" s="37" t="n"/>
      <c r="K58" s="37" t="n"/>
      <c r="L58" s="37" t="n"/>
      <c r="M58" s="37" t="n"/>
      <c r="N58" s="37" t="n"/>
      <c r="O58" s="37" t="n"/>
      <c r="P58" s="38" t="n"/>
      <c r="Q58" s="28" t="inlineStr">
        <is>
          <t>DEM</t>
        </is>
      </c>
      <c r="R58" s="37" t="n"/>
      <c r="S58" s="37" t="n"/>
      <c r="T58" s="37" t="n"/>
      <c r="U58" s="38" t="n"/>
      <c r="V58" s="28" t="n">
        <v>6529</v>
      </c>
      <c r="W58" s="37" t="n"/>
      <c r="X58" s="37" t="n"/>
      <c r="Y58" s="37" t="n"/>
      <c r="Z58" s="37" t="n"/>
      <c r="AA58" s="37" t="n"/>
      <c r="AB58" s="37" t="n"/>
      <c r="AC58" s="37" t="n"/>
      <c r="AD58" s="38" t="n"/>
    </row>
    <row r="59" ht="17.1" customHeight="1" s="36">
      <c r="G59" s="29" t="inlineStr">
        <is>
          <t>000</t>
        </is>
      </c>
      <c r="H59" s="37" t="n"/>
      <c r="I59" s="37" t="n"/>
      <c r="J59" s="37" t="n"/>
      <c r="K59" s="37" t="n"/>
      <c r="L59" s="37" t="n"/>
      <c r="M59" s="37" t="n"/>
      <c r="N59" s="37" t="n"/>
      <c r="O59" s="37" t="n"/>
      <c r="P59" s="38" t="n"/>
      <c r="Q59" s="28" t="inlineStr">
        <is>
          <t>DEM</t>
        </is>
      </c>
      <c r="R59" s="37" t="n"/>
      <c r="S59" s="37" t="n"/>
      <c r="T59" s="37" t="n"/>
      <c r="U59" s="38" t="n"/>
      <c r="V59" s="28" t="n">
        <v>35</v>
      </c>
      <c r="W59" s="37" t="n"/>
      <c r="X59" s="37" t="n"/>
      <c r="Y59" s="37" t="n"/>
      <c r="Z59" s="37" t="n"/>
      <c r="AA59" s="37" t="n"/>
      <c r="AB59" s="37" t="n"/>
      <c r="AC59" s="37" t="n"/>
      <c r="AD59" s="38" t="n"/>
    </row>
    <row r="60" ht="17.1" customHeight="1" s="36">
      <c r="G60" s="29" t="inlineStr">
        <is>
          <t>044</t>
        </is>
      </c>
      <c r="H60" s="37" t="n"/>
      <c r="I60" s="37" t="n"/>
      <c r="J60" s="37" t="n"/>
      <c r="K60" s="37" t="n"/>
      <c r="L60" s="37" t="n"/>
      <c r="M60" s="37" t="n"/>
      <c r="N60" s="37" t="n"/>
      <c r="O60" s="37" t="n"/>
      <c r="P60" s="38" t="n"/>
      <c r="Q60" s="28" t="inlineStr">
        <is>
          <t>DEM</t>
        </is>
      </c>
      <c r="R60" s="37" t="n"/>
      <c r="S60" s="37" t="n"/>
      <c r="T60" s="37" t="n"/>
      <c r="U60" s="38" t="n"/>
      <c r="V60" s="28" t="n">
        <v>161</v>
      </c>
      <c r="W60" s="37" t="n"/>
      <c r="X60" s="37" t="n"/>
      <c r="Y60" s="37" t="n"/>
      <c r="Z60" s="37" t="n"/>
      <c r="AA60" s="37" t="n"/>
      <c r="AB60" s="37" t="n"/>
      <c r="AC60" s="37" t="n"/>
      <c r="AD60" s="38" t="n"/>
    </row>
    <row r="61" ht="17.1" customHeight="1" s="36">
      <c r="G61" s="29" t="inlineStr">
        <is>
          <t>052</t>
        </is>
      </c>
      <c r="H61" s="37" t="n"/>
      <c r="I61" s="37" t="n"/>
      <c r="J61" s="37" t="n"/>
      <c r="K61" s="37" t="n"/>
      <c r="L61" s="37" t="n"/>
      <c r="M61" s="37" t="n"/>
      <c r="N61" s="37" t="n"/>
      <c r="O61" s="37" t="n"/>
      <c r="P61" s="38" t="n"/>
      <c r="Q61" s="28" t="inlineStr">
        <is>
          <t>DEM</t>
        </is>
      </c>
      <c r="R61" s="37" t="n"/>
      <c r="S61" s="37" t="n"/>
      <c r="T61" s="37" t="n"/>
      <c r="U61" s="38" t="n"/>
      <c r="V61" s="28" t="n">
        <v>112</v>
      </c>
      <c r="W61" s="37" t="n"/>
      <c r="X61" s="37" t="n"/>
      <c r="Y61" s="37" t="n"/>
      <c r="Z61" s="37" t="n"/>
      <c r="AA61" s="37" t="n"/>
      <c r="AB61" s="37" t="n"/>
      <c r="AC61" s="37" t="n"/>
      <c r="AD61" s="38" t="n"/>
    </row>
    <row r="62" ht="17.1" customHeight="1" s="36">
      <c r="G62" s="29" t="inlineStr">
        <is>
          <t>044</t>
        </is>
      </c>
      <c r="H62" s="37" t="n"/>
      <c r="I62" s="37" t="n"/>
      <c r="J62" s="37" t="n"/>
      <c r="K62" s="37" t="n"/>
      <c r="L62" s="37" t="n"/>
      <c r="M62" s="37" t="n"/>
      <c r="N62" s="37" t="n"/>
      <c r="O62" s="37" t="n"/>
      <c r="P62" s="38" t="n"/>
      <c r="Q62" s="28" t="inlineStr">
        <is>
          <t>DEMUT</t>
        </is>
      </c>
      <c r="R62" s="37" t="n"/>
      <c r="S62" s="37" t="n"/>
      <c r="T62" s="37" t="n"/>
      <c r="U62" s="38" t="n"/>
      <c r="V62" s="28" t="n">
        <v>143</v>
      </c>
      <c r="W62" s="37" t="n"/>
      <c r="X62" s="37" t="n"/>
      <c r="Y62" s="37" t="n"/>
      <c r="Z62" s="37" t="n"/>
      <c r="AA62" s="37" t="n"/>
      <c r="AB62" s="37" t="n"/>
      <c r="AC62" s="37" t="n"/>
      <c r="AD62" s="38" t="n"/>
    </row>
    <row r="63" ht="17.1" customHeight="1" s="36">
      <c r="G63" s="29" t="inlineStr">
        <is>
          <t>010</t>
        </is>
      </c>
      <c r="H63" s="37" t="n"/>
      <c r="I63" s="37" t="n"/>
      <c r="J63" s="37" t="n"/>
      <c r="K63" s="37" t="n"/>
      <c r="L63" s="37" t="n"/>
      <c r="M63" s="37" t="n"/>
      <c r="N63" s="37" t="n"/>
      <c r="O63" s="37" t="n"/>
      <c r="P63" s="38" t="n"/>
      <c r="Q63" s="28" t="inlineStr">
        <is>
          <t>DEMUT</t>
        </is>
      </c>
      <c r="R63" s="37" t="n"/>
      <c r="S63" s="37" t="n"/>
      <c r="T63" s="37" t="n"/>
      <c r="U63" s="38" t="n"/>
      <c r="V63" s="28" t="n">
        <v>19</v>
      </c>
      <c r="W63" s="37" t="n"/>
      <c r="X63" s="37" t="n"/>
      <c r="Y63" s="37" t="n"/>
      <c r="Z63" s="37" t="n"/>
      <c r="AA63" s="37" t="n"/>
      <c r="AB63" s="37" t="n"/>
      <c r="AC63" s="37" t="n"/>
      <c r="AD63" s="38" t="n"/>
    </row>
    <row r="64" ht="17.1" customHeight="1" s="36">
      <c r="G64" s="29" t="inlineStr">
        <is>
          <t>052</t>
        </is>
      </c>
      <c r="H64" s="37" t="n"/>
      <c r="I64" s="37" t="n"/>
      <c r="J64" s="37" t="n"/>
      <c r="K64" s="37" t="n"/>
      <c r="L64" s="37" t="n"/>
      <c r="M64" s="37" t="n"/>
      <c r="N64" s="37" t="n"/>
      <c r="O64" s="37" t="n"/>
      <c r="P64" s="38" t="n"/>
      <c r="Q64" s="28" t="inlineStr">
        <is>
          <t>DENT</t>
        </is>
      </c>
      <c r="R64" s="37" t="n"/>
      <c r="S64" s="37" t="n"/>
      <c r="T64" s="37" t="n"/>
      <c r="U64" s="38" t="n"/>
      <c r="V64" s="28" t="n">
        <v>288</v>
      </c>
      <c r="W64" s="37" t="n"/>
      <c r="X64" s="37" t="n"/>
      <c r="Y64" s="37" t="n"/>
      <c r="Z64" s="37" t="n"/>
      <c r="AA64" s="37" t="n"/>
      <c r="AB64" s="37" t="n"/>
      <c r="AC64" s="37" t="n"/>
      <c r="AD64" s="38" t="n"/>
    </row>
    <row r="65" ht="17.1" customHeight="1" s="36">
      <c r="G65" s="29" t="inlineStr">
        <is>
          <t>044</t>
        </is>
      </c>
      <c r="H65" s="37" t="n"/>
      <c r="I65" s="37" t="n"/>
      <c r="J65" s="37" t="n"/>
      <c r="K65" s="37" t="n"/>
      <c r="L65" s="37" t="n"/>
      <c r="M65" s="37" t="n"/>
      <c r="N65" s="37" t="n"/>
      <c r="O65" s="37" t="n"/>
      <c r="P65" s="38" t="n"/>
      <c r="Q65" s="28" t="inlineStr">
        <is>
          <t>DENT</t>
        </is>
      </c>
      <c r="R65" s="37" t="n"/>
      <c r="S65" s="37" t="n"/>
      <c r="T65" s="37" t="n"/>
      <c r="U65" s="38" t="n"/>
      <c r="V65" s="28" t="n">
        <v>238</v>
      </c>
      <c r="W65" s="37" t="n"/>
      <c r="X65" s="37" t="n"/>
      <c r="Y65" s="37" t="n"/>
      <c r="Z65" s="37" t="n"/>
      <c r="AA65" s="37" t="n"/>
      <c r="AB65" s="37" t="n"/>
      <c r="AC65" s="37" t="n"/>
      <c r="AD65" s="38" t="n"/>
    </row>
    <row r="66" ht="17.1" customHeight="1" s="36">
      <c r="G66" s="29" t="inlineStr">
        <is>
          <t>010</t>
        </is>
      </c>
      <c r="H66" s="37" t="n"/>
      <c r="I66" s="37" t="n"/>
      <c r="J66" s="37" t="n"/>
      <c r="K66" s="37" t="n"/>
      <c r="L66" s="37" t="n"/>
      <c r="M66" s="37" t="n"/>
      <c r="N66" s="37" t="n"/>
      <c r="O66" s="37" t="n"/>
      <c r="P66" s="38" t="n"/>
      <c r="Q66" s="28" t="inlineStr">
        <is>
          <t>DENT</t>
        </is>
      </c>
      <c r="R66" s="37" t="n"/>
      <c r="S66" s="37" t="n"/>
      <c r="T66" s="37" t="n"/>
      <c r="U66" s="38" t="n"/>
      <c r="V66" s="28" t="n">
        <v>28081</v>
      </c>
      <c r="W66" s="37" t="n"/>
      <c r="X66" s="37" t="n"/>
      <c r="Y66" s="37" t="n"/>
      <c r="Z66" s="37" t="n"/>
      <c r="AA66" s="37" t="n"/>
      <c r="AB66" s="37" t="n"/>
      <c r="AC66" s="37" t="n"/>
      <c r="AD66" s="38" t="n"/>
    </row>
    <row r="67" ht="17.1" customHeight="1" s="36">
      <c r="G67" s="29" t="inlineStr">
        <is>
          <t>073</t>
        </is>
      </c>
      <c r="H67" s="37" t="n"/>
      <c r="I67" s="37" t="n"/>
      <c r="J67" s="37" t="n"/>
      <c r="K67" s="37" t="n"/>
      <c r="L67" s="37" t="n"/>
      <c r="M67" s="37" t="n"/>
      <c r="N67" s="37" t="n"/>
      <c r="O67" s="37" t="n"/>
      <c r="P67" s="38" t="n"/>
      <c r="Q67" s="28" t="inlineStr">
        <is>
          <t>DENT</t>
        </is>
      </c>
      <c r="R67" s="37" t="n"/>
      <c r="S67" s="37" t="n"/>
      <c r="T67" s="37" t="n"/>
      <c r="U67" s="38" t="n"/>
      <c r="V67" s="28" t="n">
        <v>2</v>
      </c>
      <c r="W67" s="37" t="n"/>
      <c r="X67" s="37" t="n"/>
      <c r="Y67" s="37" t="n"/>
      <c r="Z67" s="37" t="n"/>
      <c r="AA67" s="37" t="n"/>
      <c r="AB67" s="37" t="n"/>
      <c r="AC67" s="37" t="n"/>
      <c r="AD67" s="38" t="n"/>
    </row>
    <row r="68" ht="17.1" customHeight="1" s="36">
      <c r="G68" s="29" t="inlineStr">
        <is>
          <t>000</t>
        </is>
      </c>
      <c r="H68" s="37" t="n"/>
      <c r="I68" s="37" t="n"/>
      <c r="J68" s="37" t="n"/>
      <c r="K68" s="37" t="n"/>
      <c r="L68" s="37" t="n"/>
      <c r="M68" s="37" t="n"/>
      <c r="N68" s="37" t="n"/>
      <c r="O68" s="37" t="n"/>
      <c r="P68" s="38" t="n"/>
      <c r="Q68" s="28" t="inlineStr">
        <is>
          <t>DENT</t>
        </is>
      </c>
      <c r="R68" s="37" t="n"/>
      <c r="S68" s="37" t="n"/>
      <c r="T68" s="37" t="n"/>
      <c r="U68" s="38" t="n"/>
      <c r="V68" s="28" t="n">
        <v>132</v>
      </c>
      <c r="W68" s="37" t="n"/>
      <c r="X68" s="37" t="n"/>
      <c r="Y68" s="37" t="n"/>
      <c r="Z68" s="37" t="n"/>
      <c r="AA68" s="37" t="n"/>
      <c r="AB68" s="37" t="n"/>
      <c r="AC68" s="37" t="n"/>
      <c r="AD68" s="38" t="n"/>
    </row>
    <row r="69" ht="17.1" customHeight="1" s="36">
      <c r="G69" s="29" t="inlineStr">
        <is>
          <t>044</t>
        </is>
      </c>
      <c r="H69" s="37" t="n"/>
      <c r="I69" s="37" t="n"/>
      <c r="J69" s="37" t="n"/>
      <c r="K69" s="37" t="n"/>
      <c r="L69" s="37" t="n"/>
      <c r="M69" s="37" t="n"/>
      <c r="N69" s="37" t="n"/>
      <c r="O69" s="37" t="n"/>
      <c r="P69" s="38" t="n"/>
      <c r="Q69" s="28" t="inlineStr">
        <is>
          <t>DETRA</t>
        </is>
      </c>
      <c r="R69" s="37" t="n"/>
      <c r="S69" s="37" t="n"/>
      <c r="T69" s="37" t="n"/>
      <c r="U69" s="38" t="n"/>
      <c r="V69" s="28" t="n">
        <v>11</v>
      </c>
      <c r="W69" s="37" t="n"/>
      <c r="X69" s="37" t="n"/>
      <c r="Y69" s="37" t="n"/>
      <c r="Z69" s="37" t="n"/>
      <c r="AA69" s="37" t="n"/>
      <c r="AB69" s="37" t="n"/>
      <c r="AC69" s="37" t="n"/>
      <c r="AD69" s="38" t="n"/>
    </row>
    <row r="70" ht="17.1" customHeight="1" s="36">
      <c r="G70" s="29" t="inlineStr">
        <is>
          <t>010</t>
        </is>
      </c>
      <c r="H70" s="37" t="n"/>
      <c r="I70" s="37" t="n"/>
      <c r="J70" s="37" t="n"/>
      <c r="K70" s="37" t="n"/>
      <c r="L70" s="37" t="n"/>
      <c r="M70" s="37" t="n"/>
      <c r="N70" s="37" t="n"/>
      <c r="O70" s="37" t="n"/>
      <c r="P70" s="38" t="n"/>
      <c r="Q70" s="28" t="inlineStr">
        <is>
          <t>DETRA</t>
        </is>
      </c>
      <c r="R70" s="37" t="n"/>
      <c r="S70" s="37" t="n"/>
      <c r="T70" s="37" t="n"/>
      <c r="U70" s="38" t="n"/>
      <c r="V70" s="28" t="n">
        <v>264</v>
      </c>
      <c r="W70" s="37" t="n"/>
      <c r="X70" s="37" t="n"/>
      <c r="Y70" s="37" t="n"/>
      <c r="Z70" s="37" t="n"/>
      <c r="AA70" s="37" t="n"/>
      <c r="AB70" s="37" t="n"/>
      <c r="AC70" s="37" t="n"/>
      <c r="AD70" s="38" t="n"/>
    </row>
    <row r="71" ht="17.1" customHeight="1" s="36">
      <c r="G71" s="29" t="inlineStr">
        <is>
          <t>000</t>
        </is>
      </c>
      <c r="H71" s="37" t="n"/>
      <c r="I71" s="37" t="n"/>
      <c r="J71" s="37" t="n"/>
      <c r="K71" s="37" t="n"/>
      <c r="L71" s="37" t="n"/>
      <c r="M71" s="37" t="n"/>
      <c r="N71" s="37" t="n"/>
      <c r="O71" s="37" t="n"/>
      <c r="P71" s="38" t="n"/>
      <c r="Q71" s="28" t="inlineStr">
        <is>
          <t>DETRA</t>
        </is>
      </c>
      <c r="R71" s="37" t="n"/>
      <c r="S71" s="37" t="n"/>
      <c r="T71" s="37" t="n"/>
      <c r="U71" s="38" t="n"/>
      <c r="V71" s="28" t="n">
        <v>3</v>
      </c>
      <c r="W71" s="37" t="n"/>
      <c r="X71" s="37" t="n"/>
      <c r="Y71" s="37" t="n"/>
      <c r="Z71" s="37" t="n"/>
      <c r="AA71" s="37" t="n"/>
      <c r="AB71" s="37" t="n"/>
      <c r="AC71" s="37" t="n"/>
      <c r="AD71" s="38" t="n"/>
    </row>
    <row r="72" ht="17.1" customHeight="1" s="36">
      <c r="G72" s="29" t="inlineStr">
        <is>
          <t>044</t>
        </is>
      </c>
      <c r="H72" s="37" t="n"/>
      <c r="I72" s="37" t="n"/>
      <c r="J72" s="37" t="n"/>
      <c r="K72" s="37" t="n"/>
      <c r="L72" s="37" t="n"/>
      <c r="M72" s="37" t="n"/>
      <c r="N72" s="37" t="n"/>
      <c r="O72" s="37" t="n"/>
      <c r="P72" s="38" t="n"/>
      <c r="Q72" s="28" t="inlineStr">
        <is>
          <t>DISP</t>
        </is>
      </c>
      <c r="R72" s="37" t="n"/>
      <c r="S72" s="37" t="n"/>
      <c r="T72" s="37" t="n"/>
      <c r="U72" s="38" t="n"/>
      <c r="V72" s="28" t="n">
        <v>188</v>
      </c>
      <c r="W72" s="37" t="n"/>
      <c r="X72" s="37" t="n"/>
      <c r="Y72" s="37" t="n"/>
      <c r="Z72" s="37" t="n"/>
      <c r="AA72" s="37" t="n"/>
      <c r="AB72" s="37" t="n"/>
      <c r="AC72" s="37" t="n"/>
      <c r="AD72" s="38" t="n"/>
    </row>
    <row r="73" ht="17.1" customHeight="1" s="36">
      <c r="G73" s="29" t="inlineStr">
        <is>
          <t>052</t>
        </is>
      </c>
      <c r="H73" s="37" t="n"/>
      <c r="I73" s="37" t="n"/>
      <c r="J73" s="37" t="n"/>
      <c r="K73" s="37" t="n"/>
      <c r="L73" s="37" t="n"/>
      <c r="M73" s="37" t="n"/>
      <c r="N73" s="37" t="n"/>
      <c r="O73" s="37" t="n"/>
      <c r="P73" s="38" t="n"/>
      <c r="Q73" s="28" t="inlineStr">
        <is>
          <t>DISP</t>
        </is>
      </c>
      <c r="R73" s="37" t="n"/>
      <c r="S73" s="37" t="n"/>
      <c r="T73" s="37" t="n"/>
      <c r="U73" s="38" t="n"/>
      <c r="V73" s="28" t="n">
        <v>4</v>
      </c>
      <c r="W73" s="37" t="n"/>
      <c r="X73" s="37" t="n"/>
      <c r="Y73" s="37" t="n"/>
      <c r="Z73" s="37" t="n"/>
      <c r="AA73" s="37" t="n"/>
      <c r="AB73" s="37" t="n"/>
      <c r="AC73" s="37" t="n"/>
      <c r="AD73" s="38" t="n"/>
    </row>
    <row r="74" ht="17.1" customHeight="1" s="36">
      <c r="G74" s="29" t="inlineStr">
        <is>
          <t>000</t>
        </is>
      </c>
      <c r="H74" s="37" t="n"/>
      <c r="I74" s="37" t="n"/>
      <c r="J74" s="37" t="n"/>
      <c r="K74" s="37" t="n"/>
      <c r="L74" s="37" t="n"/>
      <c r="M74" s="37" t="n"/>
      <c r="N74" s="37" t="n"/>
      <c r="O74" s="37" t="n"/>
      <c r="P74" s="38" t="n"/>
      <c r="Q74" s="28" t="inlineStr">
        <is>
          <t>DISP</t>
        </is>
      </c>
      <c r="R74" s="37" t="n"/>
      <c r="S74" s="37" t="n"/>
      <c r="T74" s="37" t="n"/>
      <c r="U74" s="38" t="n"/>
      <c r="V74" s="28" t="n">
        <v>452</v>
      </c>
      <c r="W74" s="37" t="n"/>
      <c r="X74" s="37" t="n"/>
      <c r="Y74" s="37" t="n"/>
      <c r="Z74" s="37" t="n"/>
      <c r="AA74" s="37" t="n"/>
      <c r="AB74" s="37" t="n"/>
      <c r="AC74" s="37" t="n"/>
      <c r="AD74" s="38" t="n"/>
    </row>
    <row r="75" ht="17.1" customHeight="1" s="36">
      <c r="G75" s="29" t="inlineStr">
        <is>
          <t>010</t>
        </is>
      </c>
      <c r="H75" s="37" t="n"/>
      <c r="I75" s="37" t="n"/>
      <c r="J75" s="37" t="n"/>
      <c r="K75" s="37" t="n"/>
      <c r="L75" s="37" t="n"/>
      <c r="M75" s="37" t="n"/>
      <c r="N75" s="37" t="n"/>
      <c r="O75" s="37" t="n"/>
      <c r="P75" s="38" t="n"/>
      <c r="Q75" s="28" t="inlineStr">
        <is>
          <t>DISP</t>
        </is>
      </c>
      <c r="R75" s="37" t="n"/>
      <c r="S75" s="37" t="n"/>
      <c r="T75" s="37" t="n"/>
      <c r="U75" s="38" t="n"/>
      <c r="V75" s="28" t="n">
        <v>58511</v>
      </c>
      <c r="W75" s="37" t="n"/>
      <c r="X75" s="37" t="n"/>
      <c r="Y75" s="37" t="n"/>
      <c r="Z75" s="37" t="n"/>
      <c r="AA75" s="37" t="n"/>
      <c r="AB75" s="37" t="n"/>
      <c r="AC75" s="37" t="n"/>
      <c r="AD75" s="38" t="n"/>
    </row>
    <row r="76" ht="17.1" customHeight="1" s="36">
      <c r="G76" s="29" t="inlineStr">
        <is>
          <t>010</t>
        </is>
      </c>
      <c r="H76" s="37" t="n"/>
      <c r="I76" s="37" t="n"/>
      <c r="J76" s="37" t="n"/>
      <c r="K76" s="37" t="n"/>
      <c r="L76" s="37" t="n"/>
      <c r="M76" s="37" t="n"/>
      <c r="N76" s="37" t="n"/>
      <c r="O76" s="37" t="n"/>
      <c r="P76" s="38" t="n"/>
      <c r="Q76" s="28" t="inlineStr">
        <is>
          <t>DIVOR</t>
        </is>
      </c>
      <c r="R76" s="37" t="n"/>
      <c r="S76" s="37" t="n"/>
      <c r="T76" s="37" t="n"/>
      <c r="U76" s="38" t="n"/>
      <c r="V76" s="28" t="n">
        <v>1</v>
      </c>
      <c r="W76" s="37" t="n"/>
      <c r="X76" s="37" t="n"/>
      <c r="Y76" s="37" t="n"/>
      <c r="Z76" s="37" t="n"/>
      <c r="AA76" s="37" t="n"/>
      <c r="AB76" s="37" t="n"/>
      <c r="AC76" s="37" t="n"/>
      <c r="AD76" s="38" t="n"/>
    </row>
    <row r="77" ht="17.1" customHeight="1" s="36">
      <c r="G77" s="29" t="inlineStr">
        <is>
          <t>044</t>
        </is>
      </c>
      <c r="H77" s="37" t="n"/>
      <c r="I77" s="37" t="n"/>
      <c r="J77" s="37" t="n"/>
      <c r="K77" s="37" t="n"/>
      <c r="L77" s="37" t="n"/>
      <c r="M77" s="37" t="n"/>
      <c r="N77" s="37" t="n"/>
      <c r="O77" s="37" t="n"/>
      <c r="P77" s="38" t="n"/>
      <c r="Q77" s="28" t="inlineStr">
        <is>
          <t>DOUBL</t>
        </is>
      </c>
      <c r="R77" s="37" t="n"/>
      <c r="S77" s="37" t="n"/>
      <c r="T77" s="37" t="n"/>
      <c r="U77" s="38" t="n"/>
      <c r="V77" s="28" t="n">
        <v>14</v>
      </c>
      <c r="W77" s="37" t="n"/>
      <c r="X77" s="37" t="n"/>
      <c r="Y77" s="37" t="n"/>
      <c r="Z77" s="37" t="n"/>
      <c r="AA77" s="37" t="n"/>
      <c r="AB77" s="37" t="n"/>
      <c r="AC77" s="37" t="n"/>
      <c r="AD77" s="38" t="n"/>
    </row>
    <row r="78" ht="17.1" customHeight="1" s="36">
      <c r="G78" s="29" t="inlineStr">
        <is>
          <t>000</t>
        </is>
      </c>
      <c r="H78" s="37" t="n"/>
      <c r="I78" s="37" t="n"/>
      <c r="J78" s="37" t="n"/>
      <c r="K78" s="37" t="n"/>
      <c r="L78" s="37" t="n"/>
      <c r="M78" s="37" t="n"/>
      <c r="N78" s="37" t="n"/>
      <c r="O78" s="37" t="n"/>
      <c r="P78" s="38" t="n"/>
      <c r="Q78" s="28" t="inlineStr">
        <is>
          <t>DOUBL</t>
        </is>
      </c>
      <c r="R78" s="37" t="n"/>
      <c r="S78" s="37" t="n"/>
      <c r="T78" s="37" t="n"/>
      <c r="U78" s="38" t="n"/>
      <c r="V78" s="28" t="n">
        <v>5</v>
      </c>
      <c r="W78" s="37" t="n"/>
      <c r="X78" s="37" t="n"/>
      <c r="Y78" s="37" t="n"/>
      <c r="Z78" s="37" t="n"/>
      <c r="AA78" s="37" t="n"/>
      <c r="AB78" s="37" t="n"/>
      <c r="AC78" s="37" t="n"/>
      <c r="AD78" s="38" t="n"/>
    </row>
    <row r="79" ht="17.1" customHeight="1" s="36">
      <c r="G79" s="29" t="inlineStr">
        <is>
          <t>052</t>
        </is>
      </c>
      <c r="H79" s="37" t="n"/>
      <c r="I79" s="37" t="n"/>
      <c r="J79" s="37" t="n"/>
      <c r="K79" s="37" t="n"/>
      <c r="L79" s="37" t="n"/>
      <c r="M79" s="37" t="n"/>
      <c r="N79" s="37" t="n"/>
      <c r="O79" s="37" t="n"/>
      <c r="P79" s="38" t="n"/>
      <c r="Q79" s="28" t="inlineStr">
        <is>
          <t>DOUBL</t>
        </is>
      </c>
      <c r="R79" s="37" t="n"/>
      <c r="S79" s="37" t="n"/>
      <c r="T79" s="37" t="n"/>
      <c r="U79" s="38" t="n"/>
      <c r="V79" s="28" t="n">
        <v>1</v>
      </c>
      <c r="W79" s="37" t="n"/>
      <c r="X79" s="37" t="n"/>
      <c r="Y79" s="37" t="n"/>
      <c r="Z79" s="37" t="n"/>
      <c r="AA79" s="37" t="n"/>
      <c r="AB79" s="37" t="n"/>
      <c r="AC79" s="37" t="n"/>
      <c r="AD79" s="38" t="n"/>
    </row>
    <row r="80" ht="17.1" customHeight="1" s="36">
      <c r="G80" s="29" t="inlineStr">
        <is>
          <t>073</t>
        </is>
      </c>
      <c r="H80" s="37" t="n"/>
      <c r="I80" s="37" t="n"/>
      <c r="J80" s="37" t="n"/>
      <c r="K80" s="37" t="n"/>
      <c r="L80" s="37" t="n"/>
      <c r="M80" s="37" t="n"/>
      <c r="N80" s="37" t="n"/>
      <c r="O80" s="37" t="n"/>
      <c r="P80" s="38" t="n"/>
      <c r="Q80" s="28" t="inlineStr">
        <is>
          <t>DOUBL</t>
        </is>
      </c>
      <c r="R80" s="37" t="n"/>
      <c r="S80" s="37" t="n"/>
      <c r="T80" s="37" t="n"/>
      <c r="U80" s="38" t="n"/>
      <c r="V80" s="28" t="n">
        <v>1</v>
      </c>
      <c r="W80" s="37" t="n"/>
      <c r="X80" s="37" t="n"/>
      <c r="Y80" s="37" t="n"/>
      <c r="Z80" s="37" t="n"/>
      <c r="AA80" s="37" t="n"/>
      <c r="AB80" s="37" t="n"/>
      <c r="AC80" s="37" t="n"/>
      <c r="AD80" s="38" t="n"/>
    </row>
    <row r="81" ht="17.1" customHeight="1" s="36">
      <c r="G81" s="29" t="inlineStr">
        <is>
          <t>010</t>
        </is>
      </c>
      <c r="H81" s="37" t="n"/>
      <c r="I81" s="37" t="n"/>
      <c r="J81" s="37" t="n"/>
      <c r="K81" s="37" t="n"/>
      <c r="L81" s="37" t="n"/>
      <c r="M81" s="37" t="n"/>
      <c r="N81" s="37" t="n"/>
      <c r="O81" s="37" t="n"/>
      <c r="P81" s="38" t="n"/>
      <c r="Q81" s="28" t="inlineStr">
        <is>
          <t>DOUBL</t>
        </is>
      </c>
      <c r="R81" s="37" t="n"/>
      <c r="S81" s="37" t="n"/>
      <c r="T81" s="37" t="n"/>
      <c r="U81" s="38" t="n"/>
      <c r="V81" s="28" t="n">
        <v>9578</v>
      </c>
      <c r="W81" s="37" t="n"/>
      <c r="X81" s="37" t="n"/>
      <c r="Y81" s="37" t="n"/>
      <c r="Z81" s="37" t="n"/>
      <c r="AA81" s="37" t="n"/>
      <c r="AB81" s="37" t="n"/>
      <c r="AC81" s="37" t="n"/>
      <c r="AD81" s="38" t="n"/>
    </row>
    <row r="82" ht="17.1" customHeight="1" s="36">
      <c r="G82" s="29" t="inlineStr">
        <is>
          <t>044</t>
        </is>
      </c>
      <c r="H82" s="37" t="n"/>
      <c r="I82" s="37" t="n"/>
      <c r="J82" s="37" t="n"/>
      <c r="K82" s="37" t="n"/>
      <c r="L82" s="37" t="n"/>
      <c r="M82" s="37" t="n"/>
      <c r="N82" s="37" t="n"/>
      <c r="O82" s="37" t="n"/>
      <c r="P82" s="38" t="n"/>
      <c r="Q82" s="28" t="inlineStr">
        <is>
          <t>DRET</t>
        </is>
      </c>
      <c r="R82" s="37" t="n"/>
      <c r="S82" s="37" t="n"/>
      <c r="T82" s="37" t="n"/>
      <c r="U82" s="38" t="n"/>
      <c r="V82" s="28" t="n">
        <v>62</v>
      </c>
      <c r="W82" s="37" t="n"/>
      <c r="X82" s="37" t="n"/>
      <c r="Y82" s="37" t="n"/>
      <c r="Z82" s="37" t="n"/>
      <c r="AA82" s="37" t="n"/>
      <c r="AB82" s="37" t="n"/>
      <c r="AC82" s="37" t="n"/>
      <c r="AD82" s="38" t="n"/>
    </row>
    <row r="83" ht="17.1" customHeight="1" s="36">
      <c r="G83" s="29" t="inlineStr">
        <is>
          <t>000</t>
        </is>
      </c>
      <c r="H83" s="37" t="n"/>
      <c r="I83" s="37" t="n"/>
      <c r="J83" s="37" t="n"/>
      <c r="K83" s="37" t="n"/>
      <c r="L83" s="37" t="n"/>
      <c r="M83" s="37" t="n"/>
      <c r="N83" s="37" t="n"/>
      <c r="O83" s="37" t="n"/>
      <c r="P83" s="38" t="n"/>
      <c r="Q83" s="28" t="inlineStr">
        <is>
          <t>DRET</t>
        </is>
      </c>
      <c r="R83" s="37" t="n"/>
      <c r="S83" s="37" t="n"/>
      <c r="T83" s="37" t="n"/>
      <c r="U83" s="38" t="n"/>
      <c r="V83" s="28" t="n">
        <v>66</v>
      </c>
      <c r="W83" s="37" t="n"/>
      <c r="X83" s="37" t="n"/>
      <c r="Y83" s="37" t="n"/>
      <c r="Z83" s="37" t="n"/>
      <c r="AA83" s="37" t="n"/>
      <c r="AB83" s="37" t="n"/>
      <c r="AC83" s="37" t="n"/>
      <c r="AD83" s="38" t="n"/>
    </row>
    <row r="84" ht="17.1" customHeight="1" s="36">
      <c r="G84" s="29" t="inlineStr">
        <is>
          <t>052</t>
        </is>
      </c>
      <c r="H84" s="37" t="n"/>
      <c r="I84" s="37" t="n"/>
      <c r="J84" s="37" t="n"/>
      <c r="K84" s="37" t="n"/>
      <c r="L84" s="37" t="n"/>
      <c r="M84" s="37" t="n"/>
      <c r="N84" s="37" t="n"/>
      <c r="O84" s="37" t="n"/>
      <c r="P84" s="38" t="n"/>
      <c r="Q84" s="28" t="inlineStr">
        <is>
          <t>DRET</t>
        </is>
      </c>
      <c r="R84" s="37" t="n"/>
      <c r="S84" s="37" t="n"/>
      <c r="T84" s="37" t="n"/>
      <c r="U84" s="38" t="n"/>
      <c r="V84" s="28" t="n">
        <v>41</v>
      </c>
      <c r="W84" s="37" t="n"/>
      <c r="X84" s="37" t="n"/>
      <c r="Y84" s="37" t="n"/>
      <c r="Z84" s="37" t="n"/>
      <c r="AA84" s="37" t="n"/>
      <c r="AB84" s="37" t="n"/>
      <c r="AC84" s="37" t="n"/>
      <c r="AD84" s="38" t="n"/>
    </row>
    <row r="85" ht="17.1" customHeight="1" s="36">
      <c r="G85" s="29" t="inlineStr">
        <is>
          <t>010</t>
        </is>
      </c>
      <c r="H85" s="37" t="n"/>
      <c r="I85" s="37" t="n"/>
      <c r="J85" s="37" t="n"/>
      <c r="K85" s="37" t="n"/>
      <c r="L85" s="37" t="n"/>
      <c r="M85" s="37" t="n"/>
      <c r="N85" s="37" t="n"/>
      <c r="O85" s="37" t="n"/>
      <c r="P85" s="38" t="n"/>
      <c r="Q85" s="28" t="inlineStr">
        <is>
          <t>DRET</t>
        </is>
      </c>
      <c r="R85" s="37" t="n"/>
      <c r="S85" s="37" t="n"/>
      <c r="T85" s="37" t="n"/>
      <c r="U85" s="38" t="n"/>
      <c r="V85" s="28" t="n">
        <v>4581</v>
      </c>
      <c r="W85" s="37" t="n"/>
      <c r="X85" s="37" t="n"/>
      <c r="Y85" s="37" t="n"/>
      <c r="Z85" s="37" t="n"/>
      <c r="AA85" s="37" t="n"/>
      <c r="AB85" s="37" t="n"/>
      <c r="AC85" s="37" t="n"/>
      <c r="AD85" s="38" t="n"/>
    </row>
    <row r="86" ht="17.1" customHeight="1" s="36">
      <c r="G86" s="29" t="inlineStr">
        <is>
          <t>073</t>
        </is>
      </c>
      <c r="H86" s="37" t="n"/>
      <c r="I86" s="37" t="n"/>
      <c r="J86" s="37" t="n"/>
      <c r="K86" s="37" t="n"/>
      <c r="L86" s="37" t="n"/>
      <c r="M86" s="37" t="n"/>
      <c r="N86" s="37" t="n"/>
      <c r="O86" s="37" t="n"/>
      <c r="P86" s="38" t="n"/>
      <c r="Q86" s="28" t="inlineStr">
        <is>
          <t>DRET</t>
        </is>
      </c>
      <c r="R86" s="37" t="n"/>
      <c r="S86" s="37" t="n"/>
      <c r="T86" s="37" t="n"/>
      <c r="U86" s="38" t="n"/>
      <c r="V86" s="28" t="n">
        <v>2</v>
      </c>
      <c r="W86" s="37" t="n"/>
      <c r="X86" s="37" t="n"/>
      <c r="Y86" s="37" t="n"/>
      <c r="Z86" s="37" t="n"/>
      <c r="AA86" s="37" t="n"/>
      <c r="AB86" s="37" t="n"/>
      <c r="AC86" s="37" t="n"/>
      <c r="AD86" s="38" t="n"/>
    </row>
    <row r="87" ht="17.1" customHeight="1" s="36">
      <c r="G87" s="29" t="inlineStr">
        <is>
          <t>044</t>
        </is>
      </c>
      <c r="H87" s="37" t="n"/>
      <c r="I87" s="37" t="n"/>
      <c r="J87" s="37" t="n"/>
      <c r="K87" s="37" t="n"/>
      <c r="L87" s="37" t="n"/>
      <c r="M87" s="37" t="n"/>
      <c r="N87" s="37" t="n"/>
      <c r="O87" s="37" t="n"/>
      <c r="P87" s="38" t="n"/>
      <c r="Q87" s="28" t="inlineStr">
        <is>
          <t>ECSUS</t>
        </is>
      </c>
      <c r="R87" s="37" t="n"/>
      <c r="S87" s="37" t="n"/>
      <c r="T87" s="37" t="n"/>
      <c r="U87" s="38" t="n"/>
      <c r="V87" s="28" t="n">
        <v>3</v>
      </c>
      <c r="W87" s="37" t="n"/>
      <c r="X87" s="37" t="n"/>
      <c r="Y87" s="37" t="n"/>
      <c r="Z87" s="37" t="n"/>
      <c r="AA87" s="37" t="n"/>
      <c r="AB87" s="37" t="n"/>
      <c r="AC87" s="37" t="n"/>
      <c r="AD87" s="38" t="n"/>
    </row>
    <row r="88" ht="17.1" customHeight="1" s="36">
      <c r="G88" s="29" t="inlineStr">
        <is>
          <t>010</t>
        </is>
      </c>
      <c r="H88" s="37" t="n"/>
      <c r="I88" s="37" t="n"/>
      <c r="J88" s="37" t="n"/>
      <c r="K88" s="37" t="n"/>
      <c r="L88" s="37" t="n"/>
      <c r="M88" s="37" t="n"/>
      <c r="N88" s="37" t="n"/>
      <c r="O88" s="37" t="n"/>
      <c r="P88" s="38" t="n"/>
      <c r="Q88" s="28" t="inlineStr">
        <is>
          <t>ECSUS</t>
        </is>
      </c>
      <c r="R88" s="37" t="n"/>
      <c r="S88" s="37" t="n"/>
      <c r="T88" s="37" t="n"/>
      <c r="U88" s="38" t="n"/>
      <c r="V88" s="28" t="n">
        <v>97</v>
      </c>
      <c r="W88" s="37" t="n"/>
      <c r="X88" s="37" t="n"/>
      <c r="Y88" s="37" t="n"/>
      <c r="Z88" s="37" t="n"/>
      <c r="AA88" s="37" t="n"/>
      <c r="AB88" s="37" t="n"/>
      <c r="AC88" s="37" t="n"/>
      <c r="AD88" s="38" t="n"/>
    </row>
    <row r="89" ht="17.1" customHeight="1" s="36">
      <c r="G89" s="29" t="inlineStr">
        <is>
          <t>000</t>
        </is>
      </c>
      <c r="H89" s="37" t="n"/>
      <c r="I89" s="37" t="n"/>
      <c r="J89" s="37" t="n"/>
      <c r="K89" s="37" t="n"/>
      <c r="L89" s="37" t="n"/>
      <c r="M89" s="37" t="n"/>
      <c r="N89" s="37" t="n"/>
      <c r="O89" s="37" t="n"/>
      <c r="P89" s="38" t="n"/>
      <c r="Q89" s="28" t="inlineStr">
        <is>
          <t>ECSUS</t>
        </is>
      </c>
      <c r="R89" s="37" t="n"/>
      <c r="S89" s="37" t="n"/>
      <c r="T89" s="37" t="n"/>
      <c r="U89" s="38" t="n"/>
      <c r="V89" s="28" t="n">
        <v>2</v>
      </c>
      <c r="W89" s="37" t="n"/>
      <c r="X89" s="37" t="n"/>
      <c r="Y89" s="37" t="n"/>
      <c r="Z89" s="37" t="n"/>
      <c r="AA89" s="37" t="n"/>
      <c r="AB89" s="37" t="n"/>
      <c r="AC89" s="37" t="n"/>
      <c r="AD89" s="38" t="n"/>
    </row>
    <row r="90" ht="17.1" customHeight="1" s="36">
      <c r="G90" s="29" t="inlineStr">
        <is>
          <t>044</t>
        </is>
      </c>
      <c r="H90" s="37" t="n"/>
      <c r="I90" s="37" t="n"/>
      <c r="J90" s="37" t="n"/>
      <c r="K90" s="37" t="n"/>
      <c r="L90" s="37" t="n"/>
      <c r="M90" s="37" t="n"/>
      <c r="N90" s="37" t="n"/>
      <c r="O90" s="37" t="n"/>
      <c r="P90" s="38" t="n"/>
      <c r="Q90" s="28" t="inlineStr">
        <is>
          <t>ERREU</t>
        </is>
      </c>
      <c r="R90" s="37" t="n"/>
      <c r="S90" s="37" t="n"/>
      <c r="T90" s="37" t="n"/>
      <c r="U90" s="38" t="n"/>
      <c r="V90" s="28" t="n">
        <v>1</v>
      </c>
      <c r="W90" s="37" t="n"/>
      <c r="X90" s="37" t="n"/>
      <c r="Y90" s="37" t="n"/>
      <c r="Z90" s="37" t="n"/>
      <c r="AA90" s="37" t="n"/>
      <c r="AB90" s="37" t="n"/>
      <c r="AC90" s="37" t="n"/>
      <c r="AD90" s="38" t="n"/>
    </row>
    <row r="91" ht="17.1" customHeight="1" s="36">
      <c r="G91" s="29" t="inlineStr">
        <is>
          <t>000</t>
        </is>
      </c>
      <c r="H91" s="37" t="n"/>
      <c r="I91" s="37" t="n"/>
      <c r="J91" s="37" t="n"/>
      <c r="K91" s="37" t="n"/>
      <c r="L91" s="37" t="n"/>
      <c r="M91" s="37" t="n"/>
      <c r="N91" s="37" t="n"/>
      <c r="O91" s="37" t="n"/>
      <c r="P91" s="38" t="n"/>
      <c r="Q91" s="28" t="inlineStr">
        <is>
          <t>ERREU</t>
        </is>
      </c>
      <c r="R91" s="37" t="n"/>
      <c r="S91" s="37" t="n"/>
      <c r="T91" s="37" t="n"/>
      <c r="U91" s="38" t="n"/>
      <c r="V91" s="28" t="n">
        <v>24</v>
      </c>
      <c r="W91" s="37" t="n"/>
      <c r="X91" s="37" t="n"/>
      <c r="Y91" s="37" t="n"/>
      <c r="Z91" s="37" t="n"/>
      <c r="AA91" s="37" t="n"/>
      <c r="AB91" s="37" t="n"/>
      <c r="AC91" s="37" t="n"/>
      <c r="AD91" s="38" t="n"/>
    </row>
    <row r="92" ht="17.1" customHeight="1" s="36">
      <c r="G92" s="29" t="inlineStr">
        <is>
          <t>010</t>
        </is>
      </c>
      <c r="H92" s="37" t="n"/>
      <c r="I92" s="37" t="n"/>
      <c r="J92" s="37" t="n"/>
      <c r="K92" s="37" t="n"/>
      <c r="L92" s="37" t="n"/>
      <c r="M92" s="37" t="n"/>
      <c r="N92" s="37" t="n"/>
      <c r="O92" s="37" t="n"/>
      <c r="P92" s="38" t="n"/>
      <c r="Q92" s="28" t="inlineStr">
        <is>
          <t>ERREU</t>
        </is>
      </c>
      <c r="R92" s="37" t="n"/>
      <c r="S92" s="37" t="n"/>
      <c r="T92" s="37" t="n"/>
      <c r="U92" s="38" t="n"/>
      <c r="V92" s="28" t="n">
        <v>88</v>
      </c>
      <c r="W92" s="37" t="n"/>
      <c r="X92" s="37" t="n"/>
      <c r="Y92" s="37" t="n"/>
      <c r="Z92" s="37" t="n"/>
      <c r="AA92" s="37" t="n"/>
      <c r="AB92" s="37" t="n"/>
      <c r="AC92" s="37" t="n"/>
      <c r="AD92" s="38" t="n"/>
    </row>
    <row r="93" ht="17.1" customHeight="1" s="36">
      <c r="G93" s="29" t="inlineStr">
        <is>
          <t>000</t>
        </is>
      </c>
      <c r="H93" s="37" t="n"/>
      <c r="I93" s="37" t="n"/>
      <c r="J93" s="37" t="n"/>
      <c r="K93" s="37" t="n"/>
      <c r="L93" s="37" t="n"/>
      <c r="M93" s="37" t="n"/>
      <c r="N93" s="37" t="n"/>
      <c r="O93" s="37" t="n"/>
      <c r="P93" s="38" t="n"/>
      <c r="Q93" s="28" t="inlineStr">
        <is>
          <t>FC2S</t>
        </is>
      </c>
      <c r="R93" s="37" t="n"/>
      <c r="S93" s="37" t="n"/>
      <c r="T93" s="37" t="n"/>
      <c r="U93" s="38" t="n"/>
      <c r="V93" s="28" t="n">
        <v>17</v>
      </c>
      <c r="W93" s="37" t="n"/>
      <c r="X93" s="37" t="n"/>
      <c r="Y93" s="37" t="n"/>
      <c r="Z93" s="37" t="n"/>
      <c r="AA93" s="37" t="n"/>
      <c r="AB93" s="37" t="n"/>
      <c r="AC93" s="37" t="n"/>
      <c r="AD93" s="38" t="n"/>
    </row>
    <row r="94" ht="17.1" customHeight="1" s="36">
      <c r="G94" s="29" t="inlineStr">
        <is>
          <t>010</t>
        </is>
      </c>
      <c r="H94" s="37" t="n"/>
      <c r="I94" s="37" t="n"/>
      <c r="J94" s="37" t="n"/>
      <c r="K94" s="37" t="n"/>
      <c r="L94" s="37" t="n"/>
      <c r="M94" s="37" t="n"/>
      <c r="N94" s="37" t="n"/>
      <c r="O94" s="37" t="n"/>
      <c r="P94" s="38" t="n"/>
      <c r="Q94" s="28" t="inlineStr">
        <is>
          <t>FC2S</t>
        </is>
      </c>
      <c r="R94" s="37" t="n"/>
      <c r="S94" s="37" t="n"/>
      <c r="T94" s="37" t="n"/>
      <c r="U94" s="38" t="n"/>
      <c r="V94" s="28" t="n">
        <v>56790</v>
      </c>
      <c r="W94" s="37" t="n"/>
      <c r="X94" s="37" t="n"/>
      <c r="Y94" s="37" t="n"/>
      <c r="Z94" s="37" t="n"/>
      <c r="AA94" s="37" t="n"/>
      <c r="AB94" s="37" t="n"/>
      <c r="AC94" s="37" t="n"/>
      <c r="AD94" s="38" t="n"/>
    </row>
    <row r="95" ht="17.1" customHeight="1" s="36">
      <c r="G95" s="29" t="inlineStr">
        <is>
          <t>000</t>
        </is>
      </c>
      <c r="H95" s="37" t="n"/>
      <c r="I95" s="37" t="n"/>
      <c r="J95" s="37" t="n"/>
      <c r="K95" s="37" t="n"/>
      <c r="L95" s="37" t="n"/>
      <c r="M95" s="37" t="n"/>
      <c r="N95" s="37" t="n"/>
      <c r="O95" s="37" t="n"/>
      <c r="P95" s="38" t="n"/>
      <c r="Q95" s="28" t="inlineStr">
        <is>
          <t>FC2SG</t>
        </is>
      </c>
      <c r="R95" s="37" t="n"/>
      <c r="S95" s="37" t="n"/>
      <c r="T95" s="37" t="n"/>
      <c r="U95" s="38" t="n"/>
      <c r="V95" s="28" t="n">
        <v>52</v>
      </c>
      <c r="W95" s="37" t="n"/>
      <c r="X95" s="37" t="n"/>
      <c r="Y95" s="37" t="n"/>
      <c r="Z95" s="37" t="n"/>
      <c r="AA95" s="37" t="n"/>
      <c r="AB95" s="37" t="n"/>
      <c r="AC95" s="37" t="n"/>
      <c r="AD95" s="38" t="n"/>
    </row>
    <row r="96" ht="17.1" customHeight="1" s="36">
      <c r="G96" s="29" t="inlineStr">
        <is>
          <t>010</t>
        </is>
      </c>
      <c r="H96" s="37" t="n"/>
      <c r="I96" s="37" t="n"/>
      <c r="J96" s="37" t="n"/>
      <c r="K96" s="37" t="n"/>
      <c r="L96" s="37" t="n"/>
      <c r="M96" s="37" t="n"/>
      <c r="N96" s="37" t="n"/>
      <c r="O96" s="37" t="n"/>
      <c r="P96" s="38" t="n"/>
      <c r="Q96" s="28" t="inlineStr">
        <is>
          <t>FC2SG</t>
        </is>
      </c>
      <c r="R96" s="37" t="n"/>
      <c r="S96" s="37" t="n"/>
      <c r="T96" s="37" t="n"/>
      <c r="U96" s="38" t="n"/>
      <c r="V96" s="28" t="n">
        <v>1790</v>
      </c>
      <c r="W96" s="37" t="n"/>
      <c r="X96" s="37" t="n"/>
      <c r="Y96" s="37" t="n"/>
      <c r="Z96" s="37" t="n"/>
      <c r="AA96" s="37" t="n"/>
      <c r="AB96" s="37" t="n"/>
      <c r="AC96" s="37" t="n"/>
      <c r="AD96" s="38" t="n"/>
    </row>
    <row r="97" ht="17.1" customHeight="1" s="36">
      <c r="G97" s="29" t="inlineStr">
        <is>
          <t>010</t>
        </is>
      </c>
      <c r="H97" s="37" t="n"/>
      <c r="I97" s="37" t="n"/>
      <c r="J97" s="37" t="n"/>
      <c r="K97" s="37" t="n"/>
      <c r="L97" s="37" t="n"/>
      <c r="M97" s="37" t="n"/>
      <c r="N97" s="37" t="n"/>
      <c r="O97" s="37" t="n"/>
      <c r="P97" s="38" t="n"/>
      <c r="Q97" s="28" t="inlineStr">
        <is>
          <t>FC2SP</t>
        </is>
      </c>
      <c r="R97" s="37" t="n"/>
      <c r="S97" s="37" t="n"/>
      <c r="T97" s="37" t="n"/>
      <c r="U97" s="38" t="n"/>
      <c r="V97" s="28" t="n">
        <v>1417</v>
      </c>
      <c r="W97" s="37" t="n"/>
      <c r="X97" s="37" t="n"/>
      <c r="Y97" s="37" t="n"/>
      <c r="Z97" s="37" t="n"/>
      <c r="AA97" s="37" t="n"/>
      <c r="AB97" s="37" t="n"/>
      <c r="AC97" s="37" t="n"/>
      <c r="AD97" s="38" t="n"/>
    </row>
    <row r="98" ht="17.1" customHeight="1" s="36">
      <c r="G98" s="29" t="inlineStr">
        <is>
          <t>000</t>
        </is>
      </c>
      <c r="H98" s="37" t="n"/>
      <c r="I98" s="37" t="n"/>
      <c r="J98" s="37" t="n"/>
      <c r="K98" s="37" t="n"/>
      <c r="L98" s="37" t="n"/>
      <c r="M98" s="37" t="n"/>
      <c r="N98" s="37" t="n"/>
      <c r="O98" s="37" t="n"/>
      <c r="P98" s="38" t="n"/>
      <c r="Q98" s="28" t="inlineStr">
        <is>
          <t>FC2SP</t>
        </is>
      </c>
      <c r="R98" s="37" t="n"/>
      <c r="S98" s="37" t="n"/>
      <c r="T98" s="37" t="n"/>
      <c r="U98" s="38" t="n"/>
      <c r="V98" s="28" t="n">
        <v>50</v>
      </c>
      <c r="W98" s="37" t="n"/>
      <c r="X98" s="37" t="n"/>
      <c r="Y98" s="37" t="n"/>
      <c r="Z98" s="37" t="n"/>
      <c r="AA98" s="37" t="n"/>
      <c r="AB98" s="37" t="n"/>
      <c r="AC98" s="37" t="n"/>
      <c r="AD98" s="38" t="n"/>
    </row>
    <row r="99" ht="17.1" customHeight="1" s="36">
      <c r="G99" s="29" t="inlineStr">
        <is>
          <t>010</t>
        </is>
      </c>
      <c r="H99" s="37" t="n"/>
      <c r="I99" s="37" t="n"/>
      <c r="J99" s="37" t="n"/>
      <c r="K99" s="37" t="n"/>
      <c r="L99" s="37" t="n"/>
      <c r="M99" s="37" t="n"/>
      <c r="N99" s="37" t="n"/>
      <c r="O99" s="37" t="n"/>
      <c r="P99" s="38" t="n"/>
      <c r="Q99" s="28" t="inlineStr">
        <is>
          <t>FDCSS</t>
        </is>
      </c>
      <c r="R99" s="37" t="n"/>
      <c r="S99" s="37" t="n"/>
      <c r="T99" s="37" t="n"/>
      <c r="U99" s="38" t="n"/>
      <c r="V99" s="28" t="n">
        <v>2</v>
      </c>
      <c r="W99" s="37" t="n"/>
      <c r="X99" s="37" t="n"/>
      <c r="Y99" s="37" t="n"/>
      <c r="Z99" s="37" t="n"/>
      <c r="AA99" s="37" t="n"/>
      <c r="AB99" s="37" t="n"/>
      <c r="AC99" s="37" t="n"/>
      <c r="AD99" s="38" t="n"/>
    </row>
    <row r="100" ht="17.1" customHeight="1" s="36">
      <c r="G100" s="29" t="inlineStr">
        <is>
          <t>010</t>
        </is>
      </c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8" t="n"/>
      <c r="Q100" s="28" t="inlineStr">
        <is>
          <t>FMGAR</t>
        </is>
      </c>
      <c r="R100" s="37" t="n"/>
      <c r="S100" s="37" t="n"/>
      <c r="T100" s="37" t="n"/>
      <c r="U100" s="38" t="n"/>
      <c r="V100" s="28" t="n">
        <v>21</v>
      </c>
      <c r="W100" s="37" t="n"/>
      <c r="X100" s="37" t="n"/>
      <c r="Y100" s="37" t="n"/>
      <c r="Z100" s="37" t="n"/>
      <c r="AA100" s="37" t="n"/>
      <c r="AB100" s="37" t="n"/>
      <c r="AC100" s="37" t="n"/>
      <c r="AD100" s="38" t="n"/>
    </row>
    <row r="101" ht="17.1" customHeight="1" s="36">
      <c r="G101" s="29" t="inlineStr">
        <is>
          <t>000</t>
        </is>
      </c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8" t="n"/>
      <c r="Q101" s="28" t="inlineStr">
        <is>
          <t>FMGAR</t>
        </is>
      </c>
      <c r="R101" s="37" t="n"/>
      <c r="S101" s="37" t="n"/>
      <c r="T101" s="37" t="n"/>
      <c r="U101" s="38" t="n"/>
      <c r="V101" s="28" t="n">
        <v>3</v>
      </c>
      <c r="W101" s="37" t="n"/>
      <c r="X101" s="37" t="n"/>
      <c r="Y101" s="37" t="n"/>
      <c r="Z101" s="37" t="n"/>
      <c r="AA101" s="37" t="n"/>
      <c r="AB101" s="37" t="n"/>
      <c r="AC101" s="37" t="n"/>
      <c r="AD101" s="38" t="n"/>
    </row>
    <row r="102" ht="17.1" customHeight="1" s="36">
      <c r="G102" s="29" t="inlineStr">
        <is>
          <t>052</t>
        </is>
      </c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8" t="n"/>
      <c r="Q102" s="28" t="inlineStr">
        <is>
          <t>FMGAR</t>
        </is>
      </c>
      <c r="R102" s="37" t="n"/>
      <c r="S102" s="37" t="n"/>
      <c r="T102" s="37" t="n"/>
      <c r="U102" s="38" t="n"/>
      <c r="V102" s="28" t="n">
        <v>19</v>
      </c>
      <c r="W102" s="37" t="n"/>
      <c r="X102" s="37" t="n"/>
      <c r="Y102" s="37" t="n"/>
      <c r="Z102" s="37" t="n"/>
      <c r="AA102" s="37" t="n"/>
      <c r="AB102" s="37" t="n"/>
      <c r="AC102" s="37" t="n"/>
      <c r="AD102" s="38" t="n"/>
    </row>
    <row r="103" ht="17.1" customHeight="1" s="36">
      <c r="G103" s="29" t="inlineStr">
        <is>
          <t>044</t>
        </is>
      </c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8" t="n"/>
      <c r="Q103" s="28" t="inlineStr">
        <is>
          <t>FPORT</t>
        </is>
      </c>
      <c r="R103" s="37" t="n"/>
      <c r="S103" s="37" t="n"/>
      <c r="T103" s="37" t="n"/>
      <c r="U103" s="38" t="n"/>
      <c r="V103" s="28" t="n">
        <v>2</v>
      </c>
      <c r="W103" s="37" t="n"/>
      <c r="X103" s="37" t="n"/>
      <c r="Y103" s="37" t="n"/>
      <c r="Z103" s="37" t="n"/>
      <c r="AA103" s="37" t="n"/>
      <c r="AB103" s="37" t="n"/>
      <c r="AC103" s="37" t="n"/>
      <c r="AD103" s="38" t="n"/>
    </row>
    <row r="104" ht="17.1" customHeight="1" s="36">
      <c r="G104" s="29" t="inlineStr">
        <is>
          <t>010</t>
        </is>
      </c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8" t="n"/>
      <c r="Q104" s="28" t="inlineStr">
        <is>
          <t>FPORT</t>
        </is>
      </c>
      <c r="R104" s="37" t="n"/>
      <c r="S104" s="37" t="n"/>
      <c r="T104" s="37" t="n"/>
      <c r="U104" s="38" t="n"/>
      <c r="V104" s="28" t="n">
        <v>327</v>
      </c>
      <c r="W104" s="37" t="n"/>
      <c r="X104" s="37" t="n"/>
      <c r="Y104" s="37" t="n"/>
      <c r="Z104" s="37" t="n"/>
      <c r="AA104" s="37" t="n"/>
      <c r="AB104" s="37" t="n"/>
      <c r="AC104" s="37" t="n"/>
      <c r="AD104" s="38" t="n"/>
    </row>
    <row r="105" ht="17.1" customHeight="1" s="36">
      <c r="G105" s="29" t="inlineStr">
        <is>
          <t>052</t>
        </is>
      </c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8" t="n"/>
      <c r="Q105" s="28" t="inlineStr">
        <is>
          <t>FPORT</t>
        </is>
      </c>
      <c r="R105" s="37" t="n"/>
      <c r="S105" s="37" t="n"/>
      <c r="T105" s="37" t="n"/>
      <c r="U105" s="38" t="n"/>
      <c r="V105" s="28" t="n">
        <v>54</v>
      </c>
      <c r="W105" s="37" t="n"/>
      <c r="X105" s="37" t="n"/>
      <c r="Y105" s="37" t="n"/>
      <c r="Z105" s="37" t="n"/>
      <c r="AA105" s="37" t="n"/>
      <c r="AB105" s="37" t="n"/>
      <c r="AC105" s="37" t="n"/>
      <c r="AD105" s="38" t="n"/>
    </row>
    <row r="106" ht="17.1" customHeight="1" s="36">
      <c r="G106" s="29" t="inlineStr">
        <is>
          <t>010</t>
        </is>
      </c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8" t="n"/>
      <c r="Q106" s="28" t="inlineStr">
        <is>
          <t>IMP</t>
        </is>
      </c>
      <c r="R106" s="37" t="n"/>
      <c r="S106" s="37" t="n"/>
      <c r="T106" s="37" t="n"/>
      <c r="U106" s="38" t="n"/>
      <c r="V106" s="28" t="n">
        <v>1559</v>
      </c>
      <c r="W106" s="37" t="n"/>
      <c r="X106" s="37" t="n"/>
      <c r="Y106" s="37" t="n"/>
      <c r="Z106" s="37" t="n"/>
      <c r="AA106" s="37" t="n"/>
      <c r="AB106" s="37" t="n"/>
      <c r="AC106" s="37" t="n"/>
      <c r="AD106" s="38" t="n"/>
    </row>
    <row r="107" ht="17.1" customHeight="1" s="36">
      <c r="G107" s="29" t="inlineStr">
        <is>
          <t>044</t>
        </is>
      </c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8" t="n"/>
      <c r="Q107" s="28" t="inlineStr">
        <is>
          <t>IMP</t>
        </is>
      </c>
      <c r="R107" s="37" t="n"/>
      <c r="S107" s="37" t="n"/>
      <c r="T107" s="37" t="n"/>
      <c r="U107" s="38" t="n"/>
      <c r="V107" s="28" t="n">
        <v>24</v>
      </c>
      <c r="W107" s="37" t="n"/>
      <c r="X107" s="37" t="n"/>
      <c r="Y107" s="37" t="n"/>
      <c r="Z107" s="37" t="n"/>
      <c r="AA107" s="37" t="n"/>
      <c r="AB107" s="37" t="n"/>
      <c r="AC107" s="37" t="n"/>
      <c r="AD107" s="38" t="n"/>
    </row>
    <row r="108" ht="17.1" customHeight="1" s="36">
      <c r="G108" s="29" t="inlineStr">
        <is>
          <t>000</t>
        </is>
      </c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8" t="n"/>
      <c r="Q108" s="28" t="inlineStr">
        <is>
          <t>OFFRE</t>
        </is>
      </c>
      <c r="R108" s="37" t="n"/>
      <c r="S108" s="37" t="n"/>
      <c r="T108" s="37" t="n"/>
      <c r="U108" s="38" t="n"/>
      <c r="V108" s="28" t="n">
        <v>82</v>
      </c>
      <c r="W108" s="37" t="n"/>
      <c r="X108" s="37" t="n"/>
      <c r="Y108" s="37" t="n"/>
      <c r="Z108" s="37" t="n"/>
      <c r="AA108" s="37" t="n"/>
      <c r="AB108" s="37" t="n"/>
      <c r="AC108" s="37" t="n"/>
      <c r="AD108" s="38" t="n"/>
    </row>
    <row r="109" ht="17.1" customHeight="1" s="36">
      <c r="G109" s="29" t="inlineStr">
        <is>
          <t>010</t>
        </is>
      </c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8" t="n"/>
      <c r="Q109" s="28" t="inlineStr">
        <is>
          <t>OFFRE</t>
        </is>
      </c>
      <c r="R109" s="37" t="n"/>
      <c r="S109" s="37" t="n"/>
      <c r="T109" s="37" t="n"/>
      <c r="U109" s="38" t="n"/>
      <c r="V109" s="28" t="n">
        <v>716</v>
      </c>
      <c r="W109" s="37" t="n"/>
      <c r="X109" s="37" t="n"/>
      <c r="Y109" s="37" t="n"/>
      <c r="Z109" s="37" t="n"/>
      <c r="AA109" s="37" t="n"/>
      <c r="AB109" s="37" t="n"/>
      <c r="AC109" s="37" t="n"/>
      <c r="AD109" s="38" t="n"/>
    </row>
    <row r="110" ht="17.1" customHeight="1" s="36">
      <c r="G110" s="29" t="inlineStr">
        <is>
          <t>044</t>
        </is>
      </c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8" t="n"/>
      <c r="Q110" s="28" t="inlineStr">
        <is>
          <t>OFFRE</t>
        </is>
      </c>
      <c r="R110" s="37" t="n"/>
      <c r="S110" s="37" t="n"/>
      <c r="T110" s="37" t="n"/>
      <c r="U110" s="38" t="n"/>
      <c r="V110" s="28" t="n">
        <v>4</v>
      </c>
      <c r="W110" s="37" t="n"/>
      <c r="X110" s="37" t="n"/>
      <c r="Y110" s="37" t="n"/>
      <c r="Z110" s="37" t="n"/>
      <c r="AA110" s="37" t="n"/>
      <c r="AB110" s="37" t="n"/>
      <c r="AC110" s="37" t="n"/>
      <c r="AD110" s="38" t="n"/>
    </row>
    <row r="111" ht="17.1" customHeight="1" s="36">
      <c r="G111" s="29" t="inlineStr">
        <is>
          <t>010</t>
        </is>
      </c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8" t="n"/>
      <c r="Q111" s="28" t="inlineStr">
        <is>
          <t>PREST</t>
        </is>
      </c>
      <c r="R111" s="37" t="n"/>
      <c r="S111" s="37" t="n"/>
      <c r="T111" s="37" t="n"/>
      <c r="U111" s="38" t="n"/>
      <c r="V111" s="28" t="n">
        <v>30</v>
      </c>
      <c r="W111" s="37" t="n"/>
      <c r="X111" s="37" t="n"/>
      <c r="Y111" s="37" t="n"/>
      <c r="Z111" s="37" t="n"/>
      <c r="AA111" s="37" t="n"/>
      <c r="AB111" s="37" t="n"/>
      <c r="AC111" s="37" t="n"/>
      <c r="AD111" s="38" t="n"/>
    </row>
    <row r="112" ht="17.1" customHeight="1" s="36">
      <c r="G112" s="29" t="inlineStr">
        <is>
          <t>000</t>
        </is>
      </c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8" t="n"/>
      <c r="Q112" s="28" t="inlineStr">
        <is>
          <t>PREST</t>
        </is>
      </c>
      <c r="R112" s="37" t="n"/>
      <c r="S112" s="37" t="n"/>
      <c r="T112" s="37" t="n"/>
      <c r="U112" s="38" t="n"/>
      <c r="V112" s="28" t="n">
        <v>1</v>
      </c>
      <c r="W112" s="37" t="n"/>
      <c r="X112" s="37" t="n"/>
      <c r="Y112" s="37" t="n"/>
      <c r="Z112" s="37" t="n"/>
      <c r="AA112" s="37" t="n"/>
      <c r="AB112" s="37" t="n"/>
      <c r="AC112" s="37" t="n"/>
      <c r="AD112" s="38" t="n"/>
    </row>
    <row r="113" ht="17.1" customHeight="1" s="36">
      <c r="G113" s="29" t="inlineStr">
        <is>
          <t>044</t>
        </is>
      </c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8" t="n"/>
      <c r="Q113" s="28" t="inlineStr">
        <is>
          <t>PREST</t>
        </is>
      </c>
      <c r="R113" s="37" t="n"/>
      <c r="S113" s="37" t="n"/>
      <c r="T113" s="37" t="n"/>
      <c r="U113" s="38" t="n"/>
      <c r="V113" s="28" t="n">
        <v>1</v>
      </c>
      <c r="W113" s="37" t="n"/>
      <c r="X113" s="37" t="n"/>
      <c r="Y113" s="37" t="n"/>
      <c r="Z113" s="37" t="n"/>
      <c r="AA113" s="37" t="n"/>
      <c r="AB113" s="37" t="n"/>
      <c r="AC113" s="37" t="n"/>
      <c r="AD113" s="38" t="n"/>
    </row>
    <row r="114" ht="17.1" customHeight="1" s="36">
      <c r="G114" s="29" t="inlineStr">
        <is>
          <t>010</t>
        </is>
      </c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8" t="n"/>
      <c r="Q114" s="28" t="inlineStr">
        <is>
          <t>RADIA</t>
        </is>
      </c>
      <c r="R114" s="37" t="n"/>
      <c r="S114" s="37" t="n"/>
      <c r="T114" s="37" t="n"/>
      <c r="U114" s="38" t="n"/>
      <c r="V114" s="28" t="n">
        <v>6</v>
      </c>
      <c r="W114" s="37" t="n"/>
      <c r="X114" s="37" t="n"/>
      <c r="Y114" s="37" t="n"/>
      <c r="Z114" s="37" t="n"/>
      <c r="AA114" s="37" t="n"/>
      <c r="AB114" s="37" t="n"/>
      <c r="AC114" s="37" t="n"/>
      <c r="AD114" s="38" t="n"/>
    </row>
    <row r="115" ht="17.1" customHeight="1" s="36">
      <c r="G115" s="29" t="inlineStr">
        <is>
          <t>052</t>
        </is>
      </c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8" t="n"/>
      <c r="Q115" s="28" t="inlineStr">
        <is>
          <t>RADIA</t>
        </is>
      </c>
      <c r="R115" s="37" t="n"/>
      <c r="S115" s="37" t="n"/>
      <c r="T115" s="37" t="n"/>
      <c r="U115" s="38" t="n"/>
      <c r="V115" s="28" t="n">
        <v>6</v>
      </c>
      <c r="W115" s="37" t="n"/>
      <c r="X115" s="37" t="n"/>
      <c r="Y115" s="37" t="n"/>
      <c r="Z115" s="37" t="n"/>
      <c r="AA115" s="37" t="n"/>
      <c r="AB115" s="37" t="n"/>
      <c r="AC115" s="37" t="n"/>
      <c r="AD115" s="38" t="n"/>
    </row>
    <row r="116" ht="17.1" customHeight="1" s="36">
      <c r="G116" s="29" t="inlineStr">
        <is>
          <t>000</t>
        </is>
      </c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8" t="n"/>
      <c r="Q116" s="28" t="inlineStr">
        <is>
          <t>RADIA</t>
        </is>
      </c>
      <c r="R116" s="37" t="n"/>
      <c r="S116" s="37" t="n"/>
      <c r="T116" s="37" t="n"/>
      <c r="U116" s="38" t="n"/>
      <c r="V116" s="28" t="n">
        <v>1</v>
      </c>
      <c r="W116" s="37" t="n"/>
      <c r="X116" s="37" t="n"/>
      <c r="Y116" s="37" t="n"/>
      <c r="Z116" s="37" t="n"/>
      <c r="AA116" s="37" t="n"/>
      <c r="AB116" s="37" t="n"/>
      <c r="AC116" s="37" t="n"/>
      <c r="AD116" s="38" t="n"/>
    </row>
    <row r="117" ht="17.1" customHeight="1" s="36">
      <c r="G117" s="29" t="inlineStr">
        <is>
          <t>000</t>
        </is>
      </c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8" t="n"/>
      <c r="Q117" s="28" t="inlineStr">
        <is>
          <t>RENON</t>
        </is>
      </c>
      <c r="R117" s="37" t="n"/>
      <c r="S117" s="37" t="n"/>
      <c r="T117" s="37" t="n"/>
      <c r="U117" s="38" t="n"/>
      <c r="V117" s="28" t="n">
        <v>19</v>
      </c>
      <c r="W117" s="37" t="n"/>
      <c r="X117" s="37" t="n"/>
      <c r="Y117" s="37" t="n"/>
      <c r="Z117" s="37" t="n"/>
      <c r="AA117" s="37" t="n"/>
      <c r="AB117" s="37" t="n"/>
      <c r="AC117" s="37" t="n"/>
      <c r="AD117" s="38" t="n"/>
    </row>
    <row r="118" ht="17.1" customHeight="1" s="36">
      <c r="G118" s="29" t="inlineStr">
        <is>
          <t>010</t>
        </is>
      </c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8" t="n"/>
      <c r="Q118" s="28" t="inlineStr">
        <is>
          <t>RENON</t>
        </is>
      </c>
      <c r="R118" s="37" t="n"/>
      <c r="S118" s="37" t="n"/>
      <c r="T118" s="37" t="n"/>
      <c r="U118" s="38" t="n"/>
      <c r="V118" s="28" t="n">
        <v>897</v>
      </c>
      <c r="W118" s="37" t="n"/>
      <c r="X118" s="37" t="n"/>
      <c r="Y118" s="37" t="n"/>
      <c r="Z118" s="37" t="n"/>
      <c r="AA118" s="37" t="n"/>
      <c r="AB118" s="37" t="n"/>
      <c r="AC118" s="37" t="n"/>
      <c r="AD118" s="38" t="n"/>
    </row>
    <row r="119" ht="17.1" customHeight="1" s="36">
      <c r="G119" s="29" t="inlineStr">
        <is>
          <t>052</t>
        </is>
      </c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8" t="n"/>
      <c r="Q119" s="28" t="inlineStr">
        <is>
          <t>SUSP</t>
        </is>
      </c>
      <c r="R119" s="37" t="n"/>
      <c r="S119" s="37" t="n"/>
      <c r="T119" s="37" t="n"/>
      <c r="U119" s="38" t="n"/>
      <c r="V119" s="28" t="n">
        <v>18</v>
      </c>
      <c r="W119" s="37" t="n"/>
      <c r="X119" s="37" t="n"/>
      <c r="Y119" s="37" t="n"/>
      <c r="Z119" s="37" t="n"/>
      <c r="AA119" s="37" t="n"/>
      <c r="AB119" s="37" t="n"/>
      <c r="AC119" s="37" t="n"/>
      <c r="AD119" s="38" t="n"/>
    </row>
    <row r="120" ht="17.1" customHeight="1" s="36">
      <c r="G120" s="29" t="inlineStr">
        <is>
          <t>010</t>
        </is>
      </c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8" t="n"/>
      <c r="Q120" s="28" t="inlineStr">
        <is>
          <t>SUSP</t>
        </is>
      </c>
      <c r="R120" s="37" t="n"/>
      <c r="S120" s="37" t="n"/>
      <c r="T120" s="37" t="n"/>
      <c r="U120" s="38" t="n"/>
      <c r="V120" s="28" t="n">
        <v>633</v>
      </c>
      <c r="W120" s="37" t="n"/>
      <c r="X120" s="37" t="n"/>
      <c r="Y120" s="37" t="n"/>
      <c r="Z120" s="37" t="n"/>
      <c r="AA120" s="37" t="n"/>
      <c r="AB120" s="37" t="n"/>
      <c r="AC120" s="37" t="n"/>
      <c r="AD120" s="38" t="n"/>
    </row>
    <row r="121" ht="17.1" customHeight="1" s="36">
      <c r="G121" s="29" t="inlineStr">
        <is>
          <t>044</t>
        </is>
      </c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8" t="n"/>
      <c r="Q121" s="28" t="inlineStr">
        <is>
          <t>SUSP</t>
        </is>
      </c>
      <c r="R121" s="37" t="n"/>
      <c r="S121" s="37" t="n"/>
      <c r="T121" s="37" t="n"/>
      <c r="U121" s="38" t="n"/>
      <c r="V121" s="28" t="n">
        <v>21</v>
      </c>
      <c r="W121" s="37" t="n"/>
      <c r="X121" s="37" t="n"/>
      <c r="Y121" s="37" t="n"/>
      <c r="Z121" s="37" t="n"/>
      <c r="AA121" s="37" t="n"/>
      <c r="AB121" s="37" t="n"/>
      <c r="AC121" s="37" t="n"/>
      <c r="AD121" s="38" t="n"/>
    </row>
    <row r="122" ht="17.1" customHeight="1" s="36">
      <c r="G122" s="29" t="inlineStr">
        <is>
          <t>073</t>
        </is>
      </c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8" t="n"/>
      <c r="Q122" s="28" t="inlineStr">
        <is>
          <t>SUSP</t>
        </is>
      </c>
      <c r="R122" s="37" t="n"/>
      <c r="S122" s="37" t="n"/>
      <c r="T122" s="37" t="n"/>
      <c r="U122" s="38" t="n"/>
      <c r="V122" s="28" t="n">
        <v>3</v>
      </c>
      <c r="W122" s="37" t="n"/>
      <c r="X122" s="37" t="n"/>
      <c r="Y122" s="37" t="n"/>
      <c r="Z122" s="37" t="n"/>
      <c r="AA122" s="37" t="n"/>
      <c r="AB122" s="37" t="n"/>
      <c r="AC122" s="37" t="n"/>
      <c r="AD122" s="38" t="n"/>
    </row>
    <row r="123" ht="17.1" customHeight="1" s="36">
      <c r="G123" s="29" t="inlineStr">
        <is>
          <t>000</t>
        </is>
      </c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8" t="n"/>
      <c r="Q123" s="28" t="inlineStr">
        <is>
          <t>SUSP</t>
        </is>
      </c>
      <c r="R123" s="37" t="n"/>
      <c r="S123" s="37" t="n"/>
      <c r="T123" s="37" t="n"/>
      <c r="U123" s="38" t="n"/>
      <c r="V123" s="28" t="n">
        <v>6</v>
      </c>
      <c r="W123" s="37" t="n"/>
      <c r="X123" s="37" t="n"/>
      <c r="Y123" s="37" t="n"/>
      <c r="Z123" s="37" t="n"/>
      <c r="AA123" s="37" t="n"/>
      <c r="AB123" s="37" t="n"/>
      <c r="AC123" s="37" t="n"/>
      <c r="AD123" s="38" t="n"/>
    </row>
    <row r="124" ht="17.1" customHeight="1" s="36">
      <c r="G124" s="29" t="inlineStr">
        <is>
          <t>010</t>
        </is>
      </c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8" t="n"/>
      <c r="Q124" s="28" t="inlineStr">
        <is>
          <t>TRANS</t>
        </is>
      </c>
      <c r="R124" s="37" t="n"/>
      <c r="S124" s="37" t="n"/>
      <c r="T124" s="37" t="n"/>
      <c r="U124" s="38" t="n"/>
      <c r="V124" s="28" t="n">
        <v>288</v>
      </c>
      <c r="W124" s="37" t="n"/>
      <c r="X124" s="37" t="n"/>
      <c r="Y124" s="37" t="n"/>
      <c r="Z124" s="37" t="n"/>
      <c r="AA124" s="37" t="n"/>
      <c r="AB124" s="37" t="n"/>
      <c r="AC124" s="37" t="n"/>
      <c r="AD124" s="38" t="n"/>
    </row>
    <row r="125" ht="17.1" customHeight="1" s="36">
      <c r="G125" s="29" t="inlineStr">
        <is>
          <t>044</t>
        </is>
      </c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8" t="n"/>
      <c r="Q125" s="28" t="inlineStr">
        <is>
          <t>TRANS</t>
        </is>
      </c>
      <c r="R125" s="37" t="n"/>
      <c r="S125" s="37" t="n"/>
      <c r="T125" s="37" t="n"/>
      <c r="U125" s="38" t="n"/>
      <c r="V125" s="28" t="n">
        <v>7</v>
      </c>
      <c r="W125" s="37" t="n"/>
      <c r="X125" s="37" t="n"/>
      <c r="Y125" s="37" t="n"/>
      <c r="Z125" s="37" t="n"/>
      <c r="AA125" s="37" t="n"/>
      <c r="AB125" s="37" t="n"/>
      <c r="AC125" s="37" t="n"/>
      <c r="AD125" s="38" t="n"/>
    </row>
    <row r="126" ht="17.1" customHeight="1" s="36">
      <c r="G126" s="29" t="inlineStr">
        <is>
          <t>052</t>
        </is>
      </c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8" t="n"/>
      <c r="Q126" s="28" t="inlineStr">
        <is>
          <t>TRANS</t>
        </is>
      </c>
      <c r="R126" s="37" t="n"/>
      <c r="S126" s="37" t="n"/>
      <c r="T126" s="37" t="n"/>
      <c r="U126" s="38" t="n"/>
      <c r="V126" s="28" t="n">
        <v>6</v>
      </c>
      <c r="W126" s="37" t="n"/>
      <c r="X126" s="37" t="n"/>
      <c r="Y126" s="37" t="n"/>
      <c r="Z126" s="37" t="n"/>
      <c r="AA126" s="37" t="n"/>
      <c r="AB126" s="37" t="n"/>
      <c r="AC126" s="37" t="n"/>
      <c r="AD126" s="38" t="n"/>
    </row>
    <row r="127" ht="17.1" customHeight="1" s="36">
      <c r="G127" s="29" t="inlineStr">
        <is>
          <t>010</t>
        </is>
      </c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8" t="n"/>
      <c r="Q127" s="28" t="n"/>
      <c r="R127" s="37" t="n"/>
      <c r="S127" s="37" t="n"/>
      <c r="T127" s="37" t="n"/>
      <c r="U127" s="38" t="n"/>
      <c r="V127" s="28" t="n">
        <v>6787</v>
      </c>
      <c r="W127" s="37" t="n"/>
      <c r="X127" s="37" t="n"/>
      <c r="Y127" s="37" t="n"/>
      <c r="Z127" s="37" t="n"/>
      <c r="AA127" s="37" t="n"/>
      <c r="AB127" s="37" t="n"/>
      <c r="AC127" s="37" t="n"/>
      <c r="AD127" s="38" t="n"/>
    </row>
    <row r="128" ht="45.75" customHeight="1" s="36"/>
    <row r="129" ht="17.1" customHeight="1" s="36">
      <c r="E129" s="33" t="inlineStr">
        <is>
          <t>KPI 3 - Nombre d'assurés principaux qui ont plusieurs KPEP avec contrat souscrit depuis le 01/01/2024 :</t>
        </is>
      </c>
      <c r="AU129" s="30" t="n">
        <v>64244</v>
      </c>
    </row>
    <row r="130" ht="7.35" customHeight="1" s="36"/>
    <row r="131" hidden="1" customHeight="1" s="36"/>
    <row r="132" ht="16.7" customHeight="1" s="36"/>
    <row r="133" ht="17.1" customHeight="1" s="36">
      <c r="G133" s="32" t="inlineStr">
        <is>
          <t>KPI 3 Bis - Nombre d'assurés principaux qui ont plusieurs KPEP quelque soit la date de souscription :</t>
        </is>
      </c>
      <c r="AW133" s="30" t="n">
        <v>68218</v>
      </c>
    </row>
    <row r="134" ht="7.35" customHeight="1" s="36"/>
    <row r="135" hidden="1" customHeight="1" s="36"/>
    <row r="136" ht="15.4" customHeight="1" s="36"/>
    <row r="137" ht="17.1" customHeight="1" s="36">
      <c r="F137" s="32" t="inlineStr">
        <is>
          <t>KPI 5 : Nombre d’assurés principaux avec un contrat ouvert sans KPEP rapproché dans le RUP avec une souscription à partir du 01/01/2024 :</t>
        </is>
      </c>
      <c r="BX137" s="30" t="n">
        <v>88</v>
      </c>
    </row>
    <row r="138" ht="7.35" customHeight="1" s="36"/>
    <row r="139" hidden="1" customHeight="1" s="36"/>
    <row r="140" ht="20.65" customHeight="1" s="36"/>
    <row r="141" ht="17.1" customHeight="1" s="36">
      <c r="F141" s="32" t="inlineStr">
        <is>
          <t>KPI 5 Bis : Nombre d’assurés principaux avec un contrat ouvert sans KPEP rapproché dans le RUP :</t>
        </is>
      </c>
      <c r="AT141" s="30" t="n">
        <v>88</v>
      </c>
    </row>
    <row r="142" ht="7.35" customHeight="1" s="36"/>
    <row r="143" hidden="1" customHeight="1" s="36"/>
    <row r="144" ht="11.25" customHeight="1" s="36"/>
    <row r="145" ht="17.1" customHeight="1" s="36">
      <c r="F145" s="32" t="inlineStr">
        <is>
          <t xml:space="preserve">KPI 5 Ter : Nombre d'assurés principaux et bénéficiaires avec un contrat valide absent du RUP : </t>
        </is>
      </c>
      <c r="AT145" s="30" t="n">
        <v>76</v>
      </c>
    </row>
    <row r="146" ht="7.35" customHeight="1" s="36"/>
    <row r="147" hidden="1" customHeight="1" s="36"/>
    <row r="148" ht="19.5" customHeight="1" s="36"/>
    <row r="149" ht="17.1" customHeight="1" s="36">
      <c r="F149" s="32" t="inlineStr">
        <is>
          <t>KPI 6 : Assures principaux avec un contrat ouvert sans mail dans AI  :</t>
        </is>
      </c>
      <c r="AV149" s="30" t="n">
        <v>133196</v>
      </c>
    </row>
    <row r="150" ht="7.35" customHeight="1" s="36"/>
    <row r="151" hidden="1" customHeight="1" s="36"/>
    <row r="152" ht="9.4" customHeight="1" s="36"/>
    <row r="153" ht="17.1" customHeight="1" s="36">
      <c r="D153" s="32" t="inlineStr">
        <is>
          <t>KPI 7 : Nombre d'assurés principaux par offre, non radiés à date</t>
        </is>
      </c>
    </row>
    <row r="154" ht="7.35" customHeight="1" s="36"/>
    <row r="155" hidden="1" customHeight="1" s="36"/>
    <row r="156" ht="8.449999999999999" customHeight="1" s="36"/>
    <row r="157" ht="13.9" customHeight="1" s="36">
      <c r="I157" s="28" t="inlineStr">
        <is>
          <t>offre</t>
        </is>
      </c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8" t="n"/>
      <c r="S157" s="28" t="inlineStr">
        <is>
          <t>nombre</t>
        </is>
      </c>
      <c r="T157" s="37" t="n"/>
      <c r="U157" s="37" t="n"/>
      <c r="V157" s="37" t="n"/>
      <c r="W157" s="38" t="n"/>
    </row>
    <row r="158" ht="13.9" customHeight="1" s="36">
      <c r="I158" s="28" t="inlineStr">
        <is>
          <t>INMMISPACT</t>
        </is>
      </c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8" t="n"/>
      <c r="S158" s="28" t="n">
        <v>3768</v>
      </c>
      <c r="T158" s="37" t="n"/>
      <c r="U158" s="37" t="n"/>
      <c r="V158" s="37" t="n"/>
      <c r="W158" s="38" t="n"/>
    </row>
    <row r="159" ht="13.9" customHeight="1" s="36">
      <c r="I159" s="28" t="inlineStr">
        <is>
          <t>INMMISPAUT</t>
        </is>
      </c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8" t="n"/>
      <c r="S159" s="28" t="n">
        <v>1772</v>
      </c>
      <c r="T159" s="37" t="n"/>
      <c r="U159" s="37" t="n"/>
      <c r="V159" s="37" t="n"/>
      <c r="W159" s="38" t="n"/>
    </row>
    <row r="160" ht="13.9" customHeight="1" s="36">
      <c r="I160" s="28" t="inlineStr">
        <is>
          <t>INMMISPRET</t>
        </is>
      </c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8" t="n"/>
      <c r="S160" s="28" t="n">
        <v>5674</v>
      </c>
      <c r="T160" s="37" t="n"/>
      <c r="U160" s="37" t="n"/>
      <c r="V160" s="37" t="n"/>
      <c r="W160" s="38" t="n"/>
    </row>
    <row r="161" ht="13.9" customHeight="1" s="36">
      <c r="I161" s="28" t="inlineStr">
        <is>
          <t>INMMSPACT1</t>
        </is>
      </c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8" t="n"/>
      <c r="S161" s="28" t="n">
        <v>169664</v>
      </c>
      <c r="T161" s="37" t="n"/>
      <c r="U161" s="37" t="n"/>
      <c r="V161" s="37" t="n"/>
      <c r="W161" s="38" t="n"/>
    </row>
    <row r="162" ht="13.9" customHeight="1" s="36">
      <c r="I162" s="28" t="inlineStr">
        <is>
          <t>INMMSPOJI1</t>
        </is>
      </c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8" t="n"/>
      <c r="S162" s="28" t="n">
        <v>32414</v>
      </c>
      <c r="T162" s="37" t="n"/>
      <c r="U162" s="37" t="n"/>
      <c r="V162" s="37" t="n"/>
      <c r="W162" s="38" t="n"/>
    </row>
    <row r="163" ht="13.9" customHeight="1" s="36">
      <c r="I163" s="28" t="inlineStr">
        <is>
          <t>INMMSPRET1</t>
        </is>
      </c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8" t="n"/>
      <c r="S163" s="28" t="n">
        <v>785871</v>
      </c>
      <c r="T163" s="37" t="n"/>
      <c r="U163" s="37" t="n"/>
      <c r="V163" s="37" t="n"/>
      <c r="W163" s="38" t="n"/>
    </row>
    <row r="164" ht="13.9" customHeight="1" s="36">
      <c r="I164" s="28" t="inlineStr">
        <is>
          <t>INPCULT002</t>
        </is>
      </c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8" t="n"/>
      <c r="S164" s="28" t="n">
        <v>5</v>
      </c>
      <c r="T164" s="37" t="n"/>
      <c r="U164" s="37" t="n"/>
      <c r="V164" s="37" t="n"/>
      <c r="W164" s="38" t="n"/>
    </row>
    <row r="165" ht="13.9" customHeight="1" s="36">
      <c r="I165" s="28" t="inlineStr">
        <is>
          <t>INPMAS001</t>
        </is>
      </c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8" t="n"/>
      <c r="S165" s="28" t="n">
        <v>1</v>
      </c>
      <c r="T165" s="37" t="n"/>
      <c r="U165" s="37" t="n"/>
      <c r="V165" s="37" t="n"/>
      <c r="W165" s="38" t="n"/>
    </row>
    <row r="166" ht="13.9" customHeight="1" s="36">
      <c r="I166" s="28" t="inlineStr">
        <is>
          <t>INPPREVIND</t>
        </is>
      </c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8" t="n"/>
      <c r="S166" s="28" t="n">
        <v>690926</v>
      </c>
      <c r="T166" s="37" t="n"/>
      <c r="U166" s="37" t="n"/>
      <c r="V166" s="37" t="n"/>
      <c r="W166" s="38" t="n"/>
    </row>
    <row r="167" ht="13.9" customHeight="1" s="36">
      <c r="I167" s="28" t="inlineStr">
        <is>
          <t>INSC2SG</t>
        </is>
      </c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8" t="n"/>
      <c r="S167" s="28" t="n">
        <v>15177</v>
      </c>
      <c r="T167" s="37" t="n"/>
      <c r="U167" s="37" t="n"/>
      <c r="V167" s="37" t="n"/>
      <c r="W167" s="38" t="n"/>
    </row>
    <row r="168" ht="13.9" customHeight="1" s="36">
      <c r="I168" s="28" t="inlineStr">
        <is>
          <t>INSC2SP</t>
        </is>
      </c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8" t="n"/>
      <c r="S168" s="28" t="n">
        <v>10180</v>
      </c>
      <c r="T168" s="37" t="n"/>
      <c r="U168" s="37" t="n"/>
      <c r="V168" s="37" t="n"/>
      <c r="W168" s="38" t="n"/>
    </row>
    <row r="169" ht="13.9" customHeight="1" s="36">
      <c r="I169" s="28" t="inlineStr">
        <is>
          <t>INSC2SS</t>
        </is>
      </c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8" t="n"/>
      <c r="S169" s="28" t="n">
        <v>665</v>
      </c>
      <c r="T169" s="37" t="n"/>
      <c r="U169" s="37" t="n"/>
      <c r="V169" s="37" t="n"/>
      <c r="W169" s="38" t="n"/>
    </row>
    <row r="170" ht="13.9" customHeight="1" s="36">
      <c r="I170" s="28" t="inlineStr">
        <is>
          <t>INSEFFBRED</t>
        </is>
      </c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8" t="n"/>
      <c r="S170" s="28" t="n">
        <v>741</v>
      </c>
      <c r="T170" s="37" t="n"/>
      <c r="U170" s="37" t="n"/>
      <c r="V170" s="37" t="n"/>
      <c r="W170" s="38" t="n"/>
    </row>
    <row r="171" ht="13.9" customHeight="1" s="36">
      <c r="I171" s="28" t="inlineStr">
        <is>
          <t>INSEFFICIE</t>
        </is>
      </c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8" t="n"/>
      <c r="S171" s="28" t="n">
        <v>92473</v>
      </c>
      <c r="T171" s="37" t="n"/>
      <c r="U171" s="37" t="n"/>
      <c r="V171" s="37" t="n"/>
      <c r="W171" s="38" t="n"/>
    </row>
    <row r="172" ht="13.9" customHeight="1" s="36">
      <c r="I172" s="28" t="inlineStr">
        <is>
          <t>INSMAEEPNR</t>
        </is>
      </c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8" t="n"/>
      <c r="S172" s="28" t="n">
        <v>68</v>
      </c>
      <c r="T172" s="37" t="n"/>
      <c r="U172" s="37" t="n"/>
      <c r="V172" s="37" t="n"/>
      <c r="W172" s="38" t="n"/>
    </row>
    <row r="173" ht="13.9" customHeight="1" s="36">
      <c r="I173" s="28" t="inlineStr">
        <is>
          <t>INSMAEEREF</t>
        </is>
      </c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8" t="n"/>
      <c r="S173" s="28" t="n">
        <v>491</v>
      </c>
      <c r="T173" s="37" t="n"/>
      <c r="U173" s="37" t="n"/>
      <c r="V173" s="37" t="n"/>
      <c r="W173" s="38" t="n"/>
    </row>
    <row r="174" ht="13.9" customHeight="1" s="36">
      <c r="I174" s="28" t="inlineStr">
        <is>
          <t>INSMAEERET</t>
        </is>
      </c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8" t="n"/>
      <c r="S174" s="28" t="n">
        <v>4193</v>
      </c>
      <c r="T174" s="37" t="n"/>
      <c r="U174" s="37" t="n"/>
      <c r="V174" s="37" t="n"/>
      <c r="W174" s="38" t="n"/>
    </row>
    <row r="175" ht="13.9" customHeight="1" s="36">
      <c r="I175" s="28" t="inlineStr">
        <is>
          <t>INSMALT001</t>
        </is>
      </c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8" t="n"/>
      <c r="S175" s="28" t="n">
        <v>22132</v>
      </c>
      <c r="T175" s="37" t="n"/>
      <c r="U175" s="37" t="n"/>
      <c r="V175" s="37" t="n"/>
      <c r="W175" s="38" t="n"/>
    </row>
    <row r="176" ht="13.9" customHeight="1" s="36">
      <c r="I176" s="28" t="inlineStr">
        <is>
          <t>INSMAS001</t>
        </is>
      </c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8" t="n"/>
      <c r="S176" s="28" t="n">
        <v>16</v>
      </c>
      <c r="T176" s="37" t="n"/>
      <c r="U176" s="37" t="n"/>
      <c r="V176" s="37" t="n"/>
      <c r="W176" s="38" t="n"/>
    </row>
    <row r="177" ht="13.9" customHeight="1" s="36">
      <c r="I177" s="28" t="inlineStr">
        <is>
          <t>INSMIOM001</t>
        </is>
      </c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8" t="n"/>
      <c r="S177" s="28" t="n">
        <v>327</v>
      </c>
      <c r="T177" s="37" t="n"/>
      <c r="U177" s="37" t="n"/>
      <c r="V177" s="37" t="n"/>
      <c r="W177" s="38" t="n"/>
    </row>
    <row r="178" ht="13.9" customHeight="1" s="36">
      <c r="I178" s="28" t="inlineStr">
        <is>
          <t>INSMTE0001</t>
        </is>
      </c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8" t="n"/>
      <c r="S178" s="28" t="n">
        <v>4484</v>
      </c>
      <c r="T178" s="37" t="n"/>
      <c r="U178" s="37" t="n"/>
      <c r="V178" s="37" t="n"/>
      <c r="W178" s="38" t="n"/>
    </row>
    <row r="179" ht="13.9" customHeight="1" s="36">
      <c r="I179" s="28" t="inlineStr">
        <is>
          <t>INSMTE1001</t>
        </is>
      </c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8" t="n"/>
      <c r="S179" s="28" t="n">
        <v>57</v>
      </c>
      <c r="T179" s="37" t="n"/>
      <c r="U179" s="37" t="n"/>
      <c r="V179" s="37" t="n"/>
      <c r="W179" s="38" t="n"/>
    </row>
    <row r="180" ht="13.9" customHeight="1" s="36">
      <c r="I180" s="28" t="inlineStr">
        <is>
          <t>MEPCULT003</t>
        </is>
      </c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8" t="n"/>
      <c r="S180" s="28" t="n">
        <v>842</v>
      </c>
      <c r="T180" s="37" t="n"/>
      <c r="U180" s="37" t="n"/>
      <c r="V180" s="37" t="n"/>
      <c r="W180" s="38" t="n"/>
    </row>
    <row r="181" ht="13.9" customHeight="1" s="36">
      <c r="I181" s="28" t="inlineStr">
        <is>
          <t>MEPMAS001</t>
        </is>
      </c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8" t="n"/>
      <c r="S181" s="28" t="n">
        <v>799</v>
      </c>
      <c r="T181" s="37" t="n"/>
      <c r="U181" s="37" t="n"/>
      <c r="V181" s="37" t="n"/>
      <c r="W181" s="38" t="n"/>
    </row>
    <row r="182" ht="13.9" customHeight="1" s="36">
      <c r="I182" s="28" t="inlineStr">
        <is>
          <t>MEPMEAE001</t>
        </is>
      </c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8" t="n"/>
      <c r="S182" s="28" t="n">
        <v>454</v>
      </c>
      <c r="T182" s="37" t="n"/>
      <c r="U182" s="37" t="n"/>
      <c r="V182" s="37" t="n"/>
      <c r="W182" s="38" t="n"/>
    </row>
    <row r="183" ht="13.9" customHeight="1" s="36">
      <c r="I183" s="28" t="inlineStr">
        <is>
          <t>MEPMEAT002</t>
        </is>
      </c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8" t="n"/>
      <c r="S183" s="28" t="n">
        <v>835</v>
      </c>
      <c r="T183" s="37" t="n"/>
      <c r="U183" s="37" t="n"/>
      <c r="V183" s="37" t="n"/>
      <c r="W183" s="38" t="n"/>
    </row>
    <row r="184" ht="13.9" customHeight="1" s="36">
      <c r="I184" s="28" t="inlineStr">
        <is>
          <t>MEPMENP002</t>
        </is>
      </c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8" t="n"/>
      <c r="S184" s="28" t="n">
        <v>91316</v>
      </c>
      <c r="T184" s="37" t="n"/>
      <c r="U184" s="37" t="n"/>
      <c r="V184" s="37" t="n"/>
      <c r="W184" s="38" t="n"/>
    </row>
    <row r="185" ht="13.9" customHeight="1" s="36">
      <c r="I185" s="28" t="inlineStr">
        <is>
          <t>MEPMENP201</t>
        </is>
      </c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8" t="n"/>
      <c r="S185" s="28" t="n">
        <v>263</v>
      </c>
      <c r="T185" s="37" t="n"/>
      <c r="U185" s="37" t="n"/>
      <c r="V185" s="37" t="n"/>
      <c r="W185" s="38" t="n"/>
    </row>
    <row r="186" ht="13.9" customHeight="1" s="36">
      <c r="I186" s="28" t="inlineStr">
        <is>
          <t>MESAPEI002</t>
        </is>
      </c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8" t="n"/>
      <c r="S186" s="28" t="n">
        <v>449</v>
      </c>
      <c r="T186" s="37" t="n"/>
      <c r="U186" s="37" t="n"/>
      <c r="V186" s="37" t="n"/>
      <c r="W186" s="38" t="n"/>
    </row>
    <row r="187" ht="13.9" customHeight="1" s="36">
      <c r="I187" s="28" t="inlineStr">
        <is>
          <t>MESBGTL004</t>
        </is>
      </c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8" t="n"/>
      <c r="S187" s="28" t="n">
        <v>1418</v>
      </c>
      <c r="T187" s="37" t="n"/>
      <c r="U187" s="37" t="n"/>
      <c r="V187" s="37" t="n"/>
      <c r="W187" s="38" t="n"/>
    </row>
    <row r="188" ht="13.9" customHeight="1" s="36">
      <c r="I188" s="28" t="inlineStr">
        <is>
          <t>MESBSRT002</t>
        </is>
      </c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8" t="n"/>
      <c r="S188" s="28" t="n">
        <v>106</v>
      </c>
      <c r="T188" s="37" t="n"/>
      <c r="U188" s="37" t="n"/>
      <c r="V188" s="37" t="n"/>
      <c r="W188" s="38" t="n"/>
    </row>
    <row r="189" ht="13.9" customHeight="1" s="36">
      <c r="I189" s="28" t="inlineStr">
        <is>
          <t>MESCULT002</t>
        </is>
      </c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8" t="n"/>
      <c r="S189" s="28" t="n">
        <v>20212</v>
      </c>
      <c r="T189" s="37" t="n"/>
      <c r="U189" s="37" t="n"/>
      <c r="V189" s="37" t="n"/>
      <c r="W189" s="38" t="n"/>
    </row>
    <row r="190" ht="13.9" customHeight="1" s="36">
      <c r="I190" s="28" t="inlineStr">
        <is>
          <t>MESCULT101</t>
        </is>
      </c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8" t="n"/>
      <c r="S190" s="28" t="n">
        <v>7</v>
      </c>
      <c r="T190" s="37" t="n"/>
      <c r="U190" s="37" t="n"/>
      <c r="V190" s="37" t="n"/>
      <c r="W190" s="38" t="n"/>
    </row>
    <row r="191" ht="13.9" customHeight="1" s="36">
      <c r="I191" s="28" t="inlineStr">
        <is>
          <t>MESERASMUS</t>
        </is>
      </c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8" t="n"/>
      <c r="S191" s="28" t="n">
        <v>318</v>
      </c>
      <c r="T191" s="37" t="n"/>
      <c r="U191" s="37" t="n"/>
      <c r="V191" s="37" t="n"/>
      <c r="W191" s="38" t="n"/>
    </row>
    <row r="192" ht="13.9" customHeight="1" s="36">
      <c r="I192" s="28" t="inlineStr">
        <is>
          <t>MESESEA001</t>
        </is>
      </c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8" t="n"/>
      <c r="S192" s="28" t="n">
        <v>103</v>
      </c>
      <c r="T192" s="37" t="n"/>
      <c r="U192" s="37" t="n"/>
      <c r="V192" s="37" t="n"/>
      <c r="W192" s="38" t="n"/>
    </row>
    <row r="193" ht="13.9" customHeight="1" s="36">
      <c r="I193" s="28" t="inlineStr">
        <is>
          <t>MESFRVL001</t>
        </is>
      </c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8" t="n"/>
      <c r="S193" s="28" t="n">
        <v>47</v>
      </c>
      <c r="T193" s="37" t="n"/>
      <c r="U193" s="37" t="n"/>
      <c r="V193" s="37" t="n"/>
      <c r="W193" s="38" t="n"/>
    </row>
    <row r="194" ht="13.9" customHeight="1" s="36">
      <c r="I194" s="28" t="inlineStr">
        <is>
          <t>MESGMMS004</t>
        </is>
      </c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8" t="n"/>
      <c r="S194" s="28" t="n">
        <v>406</v>
      </c>
      <c r="T194" s="37" t="n"/>
      <c r="U194" s="37" t="n"/>
      <c r="V194" s="37" t="n"/>
      <c r="W194" s="38" t="n"/>
    </row>
    <row r="195" ht="13.9" customHeight="1" s="36">
      <c r="I195" s="28" t="inlineStr">
        <is>
          <t>MESINOV003</t>
        </is>
      </c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8" t="n"/>
      <c r="S195" s="28" t="n">
        <v>258</v>
      </c>
      <c r="T195" s="37" t="n"/>
      <c r="U195" s="37" t="n"/>
      <c r="V195" s="37" t="n"/>
      <c r="W195" s="38" t="n"/>
    </row>
    <row r="196" ht="13.9" customHeight="1" s="36">
      <c r="I196" s="28" t="inlineStr">
        <is>
          <t>MESJUAD002</t>
        </is>
      </c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8" t="n"/>
      <c r="S196" s="28" t="n">
        <v>3100</v>
      </c>
      <c r="T196" s="37" t="n"/>
      <c r="U196" s="37" t="n"/>
      <c r="V196" s="37" t="n"/>
      <c r="W196" s="38" t="n"/>
    </row>
    <row r="197" ht="13.9" customHeight="1" s="36">
      <c r="I197" s="28" t="inlineStr">
        <is>
          <t>MESJUAM005</t>
        </is>
      </c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8" t="n"/>
      <c r="S197" s="28" t="n">
        <v>4</v>
      </c>
      <c r="T197" s="37" t="n"/>
      <c r="U197" s="37" t="n"/>
      <c r="V197" s="37" t="n"/>
      <c r="W197" s="38" t="n"/>
    </row>
    <row r="198" ht="13.9" customHeight="1" s="36">
      <c r="I198" s="28" t="inlineStr">
        <is>
          <t>MESLAD46</t>
        </is>
      </c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8" t="n"/>
      <c r="S198" s="28" t="n">
        <v>596</v>
      </c>
      <c r="T198" s="37" t="n"/>
      <c r="U198" s="37" t="n"/>
      <c r="V198" s="37" t="n"/>
      <c r="W198" s="38" t="n"/>
    </row>
    <row r="199" ht="13.9" customHeight="1" s="36">
      <c r="I199" s="28" t="inlineStr">
        <is>
          <t>MESMEAE102</t>
        </is>
      </c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8" t="n"/>
      <c r="S199" s="28" t="n">
        <v>8511</v>
      </c>
      <c r="T199" s="37" t="n"/>
      <c r="U199" s="37" t="n"/>
      <c r="V199" s="37" t="n"/>
      <c r="W199" s="38" t="n"/>
    </row>
    <row r="200" ht="13.9" customHeight="1" s="36">
      <c r="I200" s="28" t="inlineStr">
        <is>
          <t>MESMEAE202</t>
        </is>
      </c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8" t="n"/>
      <c r="S200" s="28" t="n">
        <v>4103</v>
      </c>
      <c r="T200" s="37" t="n"/>
      <c r="U200" s="37" t="n"/>
      <c r="V200" s="37" t="n"/>
      <c r="W200" s="38" t="n"/>
    </row>
    <row r="201" ht="13.9" customHeight="1" s="36">
      <c r="I201" s="28" t="inlineStr">
        <is>
          <t>MESMEAE301</t>
        </is>
      </c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8" t="n"/>
      <c r="S201" s="28" t="n">
        <v>1</v>
      </c>
      <c r="T201" s="37" t="n"/>
      <c r="U201" s="37" t="n"/>
      <c r="V201" s="37" t="n"/>
      <c r="W201" s="38" t="n"/>
    </row>
    <row r="202" ht="13.9" customHeight="1" s="36">
      <c r="I202" s="28" t="inlineStr">
        <is>
          <t>MESMEN001</t>
        </is>
      </c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8" t="n"/>
      <c r="S202" s="28" t="n">
        <v>1212393</v>
      </c>
      <c r="T202" s="37" t="n"/>
      <c r="U202" s="37" t="n"/>
      <c r="V202" s="37" t="n"/>
      <c r="W202" s="38" t="n"/>
    </row>
    <row r="203" ht="13.9" customHeight="1" s="36">
      <c r="I203" s="28" t="inlineStr">
        <is>
          <t>MESMEN2003</t>
        </is>
      </c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8" t="n"/>
      <c r="S203" s="28" t="n">
        <v>4215</v>
      </c>
      <c r="T203" s="37" t="n"/>
      <c r="U203" s="37" t="n"/>
      <c r="V203" s="37" t="n"/>
      <c r="W203" s="38" t="n"/>
    </row>
    <row r="204" ht="13.9" customHeight="1" s="36">
      <c r="I204" s="28" t="inlineStr">
        <is>
          <t>MESMEN3001</t>
        </is>
      </c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8" t="n"/>
      <c r="S204" s="28" t="n">
        <v>743</v>
      </c>
      <c r="T204" s="37" t="n"/>
      <c r="U204" s="37" t="n"/>
      <c r="V204" s="37" t="n"/>
      <c r="W204" s="38" t="n"/>
    </row>
    <row r="205" ht="13.9" customHeight="1" s="36">
      <c r="I205" s="28" t="inlineStr">
        <is>
          <t>MESMNTSALA</t>
        </is>
      </c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8" t="n"/>
      <c r="S205" s="28" t="n">
        <v>1090</v>
      </c>
      <c r="T205" s="37" t="n"/>
      <c r="U205" s="37" t="n"/>
      <c r="V205" s="37" t="n"/>
      <c r="W205" s="38" t="n"/>
    </row>
    <row r="206" ht="13.9" customHeight="1" s="36">
      <c r="I206" s="28" t="inlineStr">
        <is>
          <t>MESMUTFR31</t>
        </is>
      </c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8" t="n"/>
      <c r="S206" s="28" t="n">
        <v>563</v>
      </c>
      <c r="T206" s="37" t="n"/>
      <c r="U206" s="37" t="n"/>
      <c r="V206" s="37" t="n"/>
      <c r="W206" s="38" t="n"/>
    </row>
    <row r="207" ht="13.9" customHeight="1" s="36">
      <c r="I207" s="28" t="inlineStr">
        <is>
          <t>OFFSUP</t>
        </is>
      </c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8" t="n"/>
      <c r="S207" s="28" t="n">
        <v>2</v>
      </c>
      <c r="T207" s="37" t="n"/>
      <c r="U207" s="37" t="n"/>
      <c r="V207" s="37" t="n"/>
      <c r="W207" s="38" t="n"/>
    </row>
    <row r="208" ht="13.9" customHeight="1" s="36">
      <c r="I208" s="28" t="inlineStr">
        <is>
          <t>STSNUANCE</t>
        </is>
      </c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8" t="n"/>
      <c r="S208" s="28" t="n">
        <v>110</v>
      </c>
      <c r="T208" s="37" t="n"/>
      <c r="U208" s="37" t="n"/>
      <c r="V208" s="37" t="n"/>
      <c r="W208" s="38" t="n"/>
    </row>
    <row r="209" ht="12.2" customHeight="1" s="36"/>
    <row r="210" ht="17.1" customHeight="1" s="36">
      <c r="I210" s="32" t="inlineStr">
        <is>
          <t>KPI 8 : Déphasages email et teléphones entre AI et KPEP</t>
        </is>
      </c>
    </row>
    <row r="211" ht="7.35" customHeight="1" s="36"/>
    <row r="212" ht="5.1" customHeight="1" s="36"/>
    <row r="213" ht="17.1" customHeight="1" s="36">
      <c r="I213" s="30" t="inlineStr">
        <is>
          <t>Nombre de déphasages mails : 20386</t>
        </is>
      </c>
    </row>
    <row r="214" hidden="1" customHeight="1" s="36"/>
    <row r="215" ht="17.1" customHeight="1" s="36">
      <c r="I215" s="30" t="inlineStr">
        <is>
          <t>Déphasage téléphone "PORT" : 70995</t>
        </is>
      </c>
    </row>
    <row r="216" ht="2.1" customHeight="1" s="36"/>
    <row r="217" ht="17.1" customHeight="1" s="36">
      <c r="I217" s="30" t="inlineStr">
        <is>
          <t>Déphasage téléphone "TELP" : 5200</t>
        </is>
      </c>
    </row>
    <row r="218" ht="5.1" customHeight="1" s="36"/>
    <row r="219" ht="17.1" customHeight="1" s="36">
      <c r="K219" s="30" t="inlineStr">
        <is>
          <t>Nombre de déphasages dates de naissance : 459</t>
        </is>
      </c>
    </row>
    <row r="220" ht="17.1" customHeight="1" s="36">
      <c r="K220" s="30" t="inlineStr">
        <is>
          <t>Nombre de déphasages dates de dc : 3754</t>
        </is>
      </c>
    </row>
    <row r="221" ht="5.1" customHeight="1" s="36"/>
    <row r="222" ht="17.1" customHeight="1" s="36">
      <c r="M222" s="30" t="inlineStr">
        <is>
          <t>Nombre de personnes accolade ayant un déphasages d'adresses : 83598</t>
        </is>
      </c>
    </row>
    <row r="223" ht="20.1" customHeight="1" s="36"/>
    <row r="224" ht="17.1" customHeight="1" s="36">
      <c r="N224" s="32" t="inlineStr">
        <is>
          <t>Export population : par type d'assuré</t>
        </is>
      </c>
    </row>
    <row r="225" ht="7.35" customHeight="1" s="36"/>
    <row r="226" ht="14.45" customHeight="1" s="36"/>
    <row r="227" ht="17.1" customHeight="1" s="36">
      <c r="L227" s="28" t="inlineStr">
        <is>
          <t>offre</t>
        </is>
      </c>
      <c r="M227" s="37" t="n"/>
      <c r="N227" s="37" t="n"/>
      <c r="O227" s="37" t="n"/>
      <c r="P227" s="37" t="n"/>
      <c r="Q227" s="38" t="n"/>
      <c r="R227" s="28" t="inlineStr">
        <is>
          <t>codsoc</t>
        </is>
      </c>
      <c r="S227" s="37" t="n"/>
      <c r="T227" s="37" t="n"/>
      <c r="U227" s="37" t="n"/>
      <c r="V227" s="38" t="n"/>
      <c r="W227" s="28" t="inlineStr">
        <is>
          <t>type assure</t>
        </is>
      </c>
      <c r="X227" s="37" t="n"/>
      <c r="Y227" s="37" t="n"/>
      <c r="Z227" s="37" t="n"/>
      <c r="AA227" s="38" t="n"/>
      <c r="AB227" s="29" t="inlineStr">
        <is>
          <t>nb pp a date</t>
        </is>
      </c>
      <c r="AC227" s="37" t="n"/>
      <c r="AD227" s="37" t="n"/>
      <c r="AE227" s="37" t="n"/>
      <c r="AF227" s="38" t="n"/>
      <c r="AG227" s="29" t="inlineStr">
        <is>
          <t>nb pp non radie</t>
        </is>
      </c>
      <c r="AH227" s="37" t="n"/>
      <c r="AI227" s="38" t="n"/>
    </row>
    <row r="228" ht="17.1" customHeight="1" s="36">
      <c r="L228" s="28" t="inlineStr">
        <is>
          <t>INMMISPACT</t>
        </is>
      </c>
      <c r="M228" s="37" t="n"/>
      <c r="N228" s="37" t="n"/>
      <c r="O228" s="37" t="n"/>
      <c r="P228" s="37" t="n"/>
      <c r="Q228" s="38" t="n"/>
      <c r="R228" s="28" t="inlineStr">
        <is>
          <t>010</t>
        </is>
      </c>
      <c r="S228" s="37" t="n"/>
      <c r="T228" s="37" t="n"/>
      <c r="U228" s="37" t="n"/>
      <c r="V228" s="38" t="n"/>
      <c r="W228" s="28" t="inlineStr">
        <is>
          <t>ASSURE</t>
        </is>
      </c>
      <c r="X228" s="37" t="n"/>
      <c r="Y228" s="37" t="n"/>
      <c r="Z228" s="37" t="n"/>
      <c r="AA228" s="38" t="n"/>
      <c r="AB228" s="29" t="n">
        <v>3768</v>
      </c>
      <c r="AC228" s="37" t="n"/>
      <c r="AD228" s="37" t="n"/>
      <c r="AE228" s="37" t="n"/>
      <c r="AF228" s="38" t="n"/>
      <c r="AG228" s="29" t="n">
        <v>3776</v>
      </c>
      <c r="AH228" s="37" t="n"/>
      <c r="AI228" s="38" t="n"/>
    </row>
    <row r="229" ht="17.1" customHeight="1" s="36">
      <c r="L229" s="28" t="inlineStr">
        <is>
          <t>INMMISPACT</t>
        </is>
      </c>
      <c r="M229" s="37" t="n"/>
      <c r="N229" s="37" t="n"/>
      <c r="O229" s="37" t="n"/>
      <c r="P229" s="37" t="n"/>
      <c r="Q229" s="38" t="n"/>
      <c r="R229" s="28" t="inlineStr">
        <is>
          <t>010</t>
        </is>
      </c>
      <c r="S229" s="37" t="n"/>
      <c r="T229" s="37" t="n"/>
      <c r="U229" s="37" t="n"/>
      <c r="V229" s="38" t="n"/>
      <c r="W229" s="28" t="inlineStr">
        <is>
          <t>CONJOI</t>
        </is>
      </c>
      <c r="X229" s="37" t="n"/>
      <c r="Y229" s="37" t="n"/>
      <c r="Z229" s="37" t="n"/>
      <c r="AA229" s="38" t="n"/>
      <c r="AB229" s="29" t="n">
        <v>904</v>
      </c>
      <c r="AC229" s="37" t="n"/>
      <c r="AD229" s="37" t="n"/>
      <c r="AE229" s="37" t="n"/>
      <c r="AF229" s="38" t="n"/>
      <c r="AG229" s="29" t="n">
        <v>903</v>
      </c>
      <c r="AH229" s="37" t="n"/>
      <c r="AI229" s="38" t="n"/>
    </row>
    <row r="230" ht="17.1" customHeight="1" s="36">
      <c r="L230" s="28" t="inlineStr">
        <is>
          <t>INMMISPACT</t>
        </is>
      </c>
      <c r="M230" s="37" t="n"/>
      <c r="N230" s="37" t="n"/>
      <c r="O230" s="37" t="n"/>
      <c r="P230" s="37" t="n"/>
      <c r="Q230" s="38" t="n"/>
      <c r="R230" s="28" t="inlineStr">
        <is>
          <t>010</t>
        </is>
      </c>
      <c r="S230" s="37" t="n"/>
      <c r="T230" s="37" t="n"/>
      <c r="U230" s="37" t="n"/>
      <c r="V230" s="38" t="n"/>
      <c r="W230" s="28" t="inlineStr">
        <is>
          <t>ENFANT</t>
        </is>
      </c>
      <c r="X230" s="37" t="n"/>
      <c r="Y230" s="37" t="n"/>
      <c r="Z230" s="37" t="n"/>
      <c r="AA230" s="38" t="n"/>
      <c r="AB230" s="29" t="n">
        <v>2681</v>
      </c>
      <c r="AC230" s="37" t="n"/>
      <c r="AD230" s="37" t="n"/>
      <c r="AE230" s="37" t="n"/>
      <c r="AF230" s="38" t="n"/>
      <c r="AG230" s="29" t="n">
        <v>2686</v>
      </c>
      <c r="AH230" s="37" t="n"/>
      <c r="AI230" s="38" t="n"/>
    </row>
    <row r="231" ht="17.1" customHeight="1" s="36">
      <c r="L231" s="28" t="inlineStr">
        <is>
          <t>INMMISPAUT</t>
        </is>
      </c>
      <c r="M231" s="37" t="n"/>
      <c r="N231" s="37" t="n"/>
      <c r="O231" s="37" t="n"/>
      <c r="P231" s="37" t="n"/>
      <c r="Q231" s="38" t="n"/>
      <c r="R231" s="28" t="inlineStr">
        <is>
          <t>010</t>
        </is>
      </c>
      <c r="S231" s="37" t="n"/>
      <c r="T231" s="37" t="n"/>
      <c r="U231" s="37" t="n"/>
      <c r="V231" s="38" t="n"/>
      <c r="W231" s="28" t="inlineStr">
        <is>
          <t>ASSURE</t>
        </is>
      </c>
      <c r="X231" s="37" t="n"/>
      <c r="Y231" s="37" t="n"/>
      <c r="Z231" s="37" t="n"/>
      <c r="AA231" s="38" t="n"/>
      <c r="AB231" s="29" t="n">
        <v>1772</v>
      </c>
      <c r="AC231" s="37" t="n"/>
      <c r="AD231" s="37" t="n"/>
      <c r="AE231" s="37" t="n"/>
      <c r="AF231" s="38" t="n"/>
      <c r="AG231" s="29" t="n">
        <v>1771</v>
      </c>
      <c r="AH231" s="37" t="n"/>
      <c r="AI231" s="38" t="n"/>
    </row>
    <row r="232" ht="17.1" customHeight="1" s="36">
      <c r="L232" s="28" t="inlineStr">
        <is>
          <t>INMMISPAUT</t>
        </is>
      </c>
      <c r="M232" s="37" t="n"/>
      <c r="N232" s="37" t="n"/>
      <c r="O232" s="37" t="n"/>
      <c r="P232" s="37" t="n"/>
      <c r="Q232" s="38" t="n"/>
      <c r="R232" s="28" t="inlineStr">
        <is>
          <t>010</t>
        </is>
      </c>
      <c r="S232" s="37" t="n"/>
      <c r="T232" s="37" t="n"/>
      <c r="U232" s="37" t="n"/>
      <c r="V232" s="38" t="n"/>
      <c r="W232" s="28" t="inlineStr">
        <is>
          <t>CONJOI</t>
        </is>
      </c>
      <c r="X232" s="37" t="n"/>
      <c r="Y232" s="37" t="n"/>
      <c r="Z232" s="37" t="n"/>
      <c r="AA232" s="38" t="n"/>
      <c r="AB232" s="29" t="n">
        <v>151</v>
      </c>
      <c r="AC232" s="37" t="n"/>
      <c r="AD232" s="37" t="n"/>
      <c r="AE232" s="37" t="n"/>
      <c r="AF232" s="38" t="n"/>
      <c r="AG232" s="29" t="n">
        <v>151</v>
      </c>
      <c r="AH232" s="37" t="n"/>
      <c r="AI232" s="38" t="n"/>
    </row>
    <row r="233" ht="17.1" customHeight="1" s="36">
      <c r="L233" s="28" t="inlineStr">
        <is>
          <t>INMMISPAUT</t>
        </is>
      </c>
      <c r="M233" s="37" t="n"/>
      <c r="N233" s="37" t="n"/>
      <c r="O233" s="37" t="n"/>
      <c r="P233" s="37" t="n"/>
      <c r="Q233" s="38" t="n"/>
      <c r="R233" s="28" t="inlineStr">
        <is>
          <t>010</t>
        </is>
      </c>
      <c r="S233" s="37" t="n"/>
      <c r="T233" s="37" t="n"/>
      <c r="U233" s="37" t="n"/>
      <c r="V233" s="38" t="n"/>
      <c r="W233" s="28" t="inlineStr">
        <is>
          <t>ENFANT</t>
        </is>
      </c>
      <c r="X233" s="37" t="n"/>
      <c r="Y233" s="37" t="n"/>
      <c r="Z233" s="37" t="n"/>
      <c r="AA233" s="38" t="n"/>
      <c r="AB233" s="29" t="n">
        <v>496</v>
      </c>
      <c r="AC233" s="37" t="n"/>
      <c r="AD233" s="37" t="n"/>
      <c r="AE233" s="37" t="n"/>
      <c r="AF233" s="38" t="n"/>
      <c r="AG233" s="29" t="n">
        <v>498</v>
      </c>
      <c r="AH233" s="37" t="n"/>
      <c r="AI233" s="38" t="n"/>
    </row>
    <row r="234" ht="17.1" customHeight="1" s="36">
      <c r="L234" s="28" t="inlineStr">
        <is>
          <t>INMMISPRET</t>
        </is>
      </c>
      <c r="M234" s="37" t="n"/>
      <c r="N234" s="37" t="n"/>
      <c r="O234" s="37" t="n"/>
      <c r="P234" s="37" t="n"/>
      <c r="Q234" s="38" t="n"/>
      <c r="R234" s="28" t="inlineStr">
        <is>
          <t>010</t>
        </is>
      </c>
      <c r="S234" s="37" t="n"/>
      <c r="T234" s="37" t="n"/>
      <c r="U234" s="37" t="n"/>
      <c r="V234" s="38" t="n"/>
      <c r="W234" s="28" t="inlineStr">
        <is>
          <t>ASSURE</t>
        </is>
      </c>
      <c r="X234" s="37" t="n"/>
      <c r="Y234" s="37" t="n"/>
      <c r="Z234" s="37" t="n"/>
      <c r="AA234" s="38" t="n"/>
      <c r="AB234" s="29" t="n">
        <v>5674</v>
      </c>
      <c r="AC234" s="37" t="n"/>
      <c r="AD234" s="37" t="n"/>
      <c r="AE234" s="37" t="n"/>
      <c r="AF234" s="38" t="n"/>
      <c r="AG234" s="29" t="n">
        <v>5674</v>
      </c>
      <c r="AH234" s="37" t="n"/>
      <c r="AI234" s="38" t="n"/>
    </row>
    <row r="235" ht="17.1" customHeight="1" s="36">
      <c r="L235" s="28" t="inlineStr">
        <is>
          <t>INMMISPRET</t>
        </is>
      </c>
      <c r="M235" s="37" t="n"/>
      <c r="N235" s="37" t="n"/>
      <c r="O235" s="37" t="n"/>
      <c r="P235" s="37" t="n"/>
      <c r="Q235" s="38" t="n"/>
      <c r="R235" s="28" t="inlineStr">
        <is>
          <t>010</t>
        </is>
      </c>
      <c r="S235" s="37" t="n"/>
      <c r="T235" s="37" t="n"/>
      <c r="U235" s="37" t="n"/>
      <c r="V235" s="38" t="n"/>
      <c r="W235" s="28" t="inlineStr">
        <is>
          <t>CONJOI</t>
        </is>
      </c>
      <c r="X235" s="37" t="n"/>
      <c r="Y235" s="37" t="n"/>
      <c r="Z235" s="37" t="n"/>
      <c r="AA235" s="38" t="n"/>
      <c r="AB235" s="29" t="n">
        <v>1376</v>
      </c>
      <c r="AC235" s="37" t="n"/>
      <c r="AD235" s="37" t="n"/>
      <c r="AE235" s="37" t="n"/>
      <c r="AF235" s="38" t="n"/>
      <c r="AG235" s="29" t="n">
        <v>1376</v>
      </c>
      <c r="AH235" s="37" t="n"/>
      <c r="AI235" s="38" t="n"/>
    </row>
    <row r="236" ht="17.1" customHeight="1" s="36">
      <c r="L236" s="28" t="inlineStr">
        <is>
          <t>INMMISPRET</t>
        </is>
      </c>
      <c r="M236" s="37" t="n"/>
      <c r="N236" s="37" t="n"/>
      <c r="O236" s="37" t="n"/>
      <c r="P236" s="37" t="n"/>
      <c r="Q236" s="38" t="n"/>
      <c r="R236" s="28" t="inlineStr">
        <is>
          <t>010</t>
        </is>
      </c>
      <c r="S236" s="37" t="n"/>
      <c r="T236" s="37" t="n"/>
      <c r="U236" s="37" t="n"/>
      <c r="V236" s="38" t="n"/>
      <c r="W236" s="28" t="inlineStr">
        <is>
          <t>ENFANT</t>
        </is>
      </c>
      <c r="X236" s="37" t="n"/>
      <c r="Y236" s="37" t="n"/>
      <c r="Z236" s="37" t="n"/>
      <c r="AA236" s="38" t="n"/>
      <c r="AB236" s="29" t="n">
        <v>422</v>
      </c>
      <c r="AC236" s="37" t="n"/>
      <c r="AD236" s="37" t="n"/>
      <c r="AE236" s="37" t="n"/>
      <c r="AF236" s="38" t="n"/>
      <c r="AG236" s="29" t="n">
        <v>422</v>
      </c>
      <c r="AH236" s="37" t="n"/>
      <c r="AI236" s="38" t="n"/>
    </row>
    <row r="237" ht="17.1" customHeight="1" s="36">
      <c r="L237" s="28" t="inlineStr">
        <is>
          <t>INMMSPACT1</t>
        </is>
      </c>
      <c r="M237" s="37" t="n"/>
      <c r="N237" s="37" t="n"/>
      <c r="O237" s="37" t="n"/>
      <c r="P237" s="37" t="n"/>
      <c r="Q237" s="38" t="n"/>
      <c r="R237" s="28" t="inlineStr">
        <is>
          <t>010</t>
        </is>
      </c>
      <c r="S237" s="37" t="n"/>
      <c r="T237" s="37" t="n"/>
      <c r="U237" s="37" t="n"/>
      <c r="V237" s="38" t="n"/>
      <c r="W237" s="28" t="inlineStr">
        <is>
          <t>ASSURE</t>
        </is>
      </c>
      <c r="X237" s="37" t="n"/>
      <c r="Y237" s="37" t="n"/>
      <c r="Z237" s="37" t="n"/>
      <c r="AA237" s="38" t="n"/>
      <c r="AB237" s="29" t="n">
        <v>169664</v>
      </c>
      <c r="AC237" s="37" t="n"/>
      <c r="AD237" s="37" t="n"/>
      <c r="AE237" s="37" t="n"/>
      <c r="AF237" s="38" t="n"/>
      <c r="AG237" s="29" t="n">
        <v>169667</v>
      </c>
      <c r="AH237" s="37" t="n"/>
      <c r="AI237" s="38" t="n"/>
    </row>
    <row r="238" ht="17.1" customHeight="1" s="36">
      <c r="L238" s="28" t="inlineStr">
        <is>
          <t>INMMSPACT1</t>
        </is>
      </c>
      <c r="M238" s="37" t="n"/>
      <c r="N238" s="37" t="n"/>
      <c r="O238" s="37" t="n"/>
      <c r="P238" s="37" t="n"/>
      <c r="Q238" s="38" t="n"/>
      <c r="R238" s="28" t="inlineStr">
        <is>
          <t>010</t>
        </is>
      </c>
      <c r="S238" s="37" t="n"/>
      <c r="T238" s="37" t="n"/>
      <c r="U238" s="37" t="n"/>
      <c r="V238" s="38" t="n"/>
      <c r="W238" s="28" t="inlineStr">
        <is>
          <t>CONJOI</t>
        </is>
      </c>
      <c r="X238" s="37" t="n"/>
      <c r="Y238" s="37" t="n"/>
      <c r="Z238" s="37" t="n"/>
      <c r="AA238" s="38" t="n"/>
      <c r="AB238" s="29" t="n">
        <v>9650</v>
      </c>
      <c r="AC238" s="37" t="n"/>
      <c r="AD238" s="37" t="n"/>
      <c r="AE238" s="37" t="n"/>
      <c r="AF238" s="38" t="n"/>
      <c r="AG238" s="29" t="n">
        <v>9651</v>
      </c>
      <c r="AH238" s="37" t="n"/>
      <c r="AI238" s="38" t="n"/>
    </row>
    <row r="239" ht="17.1" customHeight="1" s="36">
      <c r="L239" s="28" t="inlineStr">
        <is>
          <t>INMMSPACT1</t>
        </is>
      </c>
      <c r="M239" s="37" t="n"/>
      <c r="N239" s="37" t="n"/>
      <c r="O239" s="37" t="n"/>
      <c r="P239" s="37" t="n"/>
      <c r="Q239" s="38" t="n"/>
      <c r="R239" s="28" t="inlineStr">
        <is>
          <t>010</t>
        </is>
      </c>
      <c r="S239" s="37" t="n"/>
      <c r="T239" s="37" t="n"/>
      <c r="U239" s="37" t="n"/>
      <c r="V239" s="38" t="n"/>
      <c r="W239" s="28" t="inlineStr">
        <is>
          <t>ENFANT</t>
        </is>
      </c>
      <c r="X239" s="37" t="n"/>
      <c r="Y239" s="37" t="n"/>
      <c r="Z239" s="37" t="n"/>
      <c r="AA239" s="38" t="n"/>
      <c r="AB239" s="29" t="n">
        <v>44106</v>
      </c>
      <c r="AC239" s="37" t="n"/>
      <c r="AD239" s="37" t="n"/>
      <c r="AE239" s="37" t="n"/>
      <c r="AF239" s="38" t="n"/>
      <c r="AG239" s="29" t="n">
        <v>44108</v>
      </c>
      <c r="AH239" s="37" t="n"/>
      <c r="AI239" s="38" t="n"/>
    </row>
    <row r="240" ht="17.1" customHeight="1" s="36">
      <c r="L240" s="28" t="inlineStr">
        <is>
          <t>INMMSPOJI1</t>
        </is>
      </c>
      <c r="M240" s="37" t="n"/>
      <c r="N240" s="37" t="n"/>
      <c r="O240" s="37" t="n"/>
      <c r="P240" s="37" t="n"/>
      <c r="Q240" s="38" t="n"/>
      <c r="R240" s="28" t="inlineStr">
        <is>
          <t>010</t>
        </is>
      </c>
      <c r="S240" s="37" t="n"/>
      <c r="T240" s="37" t="n"/>
      <c r="U240" s="37" t="n"/>
      <c r="V240" s="38" t="n"/>
      <c r="W240" s="28" t="inlineStr">
        <is>
          <t>ASSURE</t>
        </is>
      </c>
      <c r="X240" s="37" t="n"/>
      <c r="Y240" s="37" t="n"/>
      <c r="Z240" s="37" t="n"/>
      <c r="AA240" s="38" t="n"/>
      <c r="AB240" s="29" t="n">
        <v>32414</v>
      </c>
      <c r="AC240" s="37" t="n"/>
      <c r="AD240" s="37" t="n"/>
      <c r="AE240" s="37" t="n"/>
      <c r="AF240" s="38" t="n"/>
      <c r="AG240" s="29" t="n">
        <v>32432</v>
      </c>
      <c r="AH240" s="37" t="n"/>
      <c r="AI240" s="38" t="n"/>
    </row>
    <row r="241" ht="17.1" customHeight="1" s="36">
      <c r="L241" s="28" t="inlineStr">
        <is>
          <t>INMMSPRET1</t>
        </is>
      </c>
      <c r="M241" s="37" t="n"/>
      <c r="N241" s="37" t="n"/>
      <c r="O241" s="37" t="n"/>
      <c r="P241" s="37" t="n"/>
      <c r="Q241" s="38" t="n"/>
      <c r="R241" s="28" t="inlineStr">
        <is>
          <t>010</t>
        </is>
      </c>
      <c r="S241" s="37" t="n"/>
      <c r="T241" s="37" t="n"/>
      <c r="U241" s="37" t="n"/>
      <c r="V241" s="38" t="n"/>
      <c r="W241" s="28" t="inlineStr">
        <is>
          <t>ASSURE</t>
        </is>
      </c>
      <c r="X241" s="37" t="n"/>
      <c r="Y241" s="37" t="n"/>
      <c r="Z241" s="37" t="n"/>
      <c r="AA241" s="38" t="n"/>
      <c r="AB241" s="29" t="n">
        <v>785871</v>
      </c>
      <c r="AC241" s="37" t="n"/>
      <c r="AD241" s="37" t="n"/>
      <c r="AE241" s="37" t="n"/>
      <c r="AF241" s="38" t="n"/>
      <c r="AG241" s="29" t="n">
        <v>785885</v>
      </c>
      <c r="AH241" s="37" t="n"/>
      <c r="AI241" s="38" t="n"/>
    </row>
    <row r="242" ht="17.1" customHeight="1" s="36">
      <c r="L242" s="28" t="inlineStr">
        <is>
          <t>INMMSPRET1</t>
        </is>
      </c>
      <c r="M242" s="37" t="n"/>
      <c r="N242" s="37" t="n"/>
      <c r="O242" s="37" t="n"/>
      <c r="P242" s="37" t="n"/>
      <c r="Q242" s="38" t="n"/>
      <c r="R242" s="28" t="inlineStr">
        <is>
          <t>010</t>
        </is>
      </c>
      <c r="S242" s="37" t="n"/>
      <c r="T242" s="37" t="n"/>
      <c r="U242" s="37" t="n"/>
      <c r="V242" s="38" t="n"/>
      <c r="W242" s="28" t="inlineStr">
        <is>
          <t>CONJOI</t>
        </is>
      </c>
      <c r="X242" s="37" t="n"/>
      <c r="Y242" s="37" t="n"/>
      <c r="Z242" s="37" t="n"/>
      <c r="AA242" s="38" t="n"/>
      <c r="AB242" s="29" t="n">
        <v>123129</v>
      </c>
      <c r="AC242" s="37" t="n"/>
      <c r="AD242" s="37" t="n"/>
      <c r="AE242" s="37" t="n"/>
      <c r="AF242" s="38" t="n"/>
      <c r="AG242" s="29" t="n">
        <v>123134</v>
      </c>
      <c r="AH242" s="37" t="n"/>
      <c r="AI242" s="38" t="n"/>
    </row>
    <row r="243" ht="17.1" customHeight="1" s="36">
      <c r="L243" s="28" t="inlineStr">
        <is>
          <t>INMMSPRET1</t>
        </is>
      </c>
      <c r="M243" s="37" t="n"/>
      <c r="N243" s="37" t="n"/>
      <c r="O243" s="37" t="n"/>
      <c r="P243" s="37" t="n"/>
      <c r="Q243" s="38" t="n"/>
      <c r="R243" s="28" t="inlineStr">
        <is>
          <t>010</t>
        </is>
      </c>
      <c r="S243" s="37" t="n"/>
      <c r="T243" s="37" t="n"/>
      <c r="U243" s="37" t="n"/>
      <c r="V243" s="38" t="n"/>
      <c r="W243" s="28" t="inlineStr">
        <is>
          <t>ENFANT</t>
        </is>
      </c>
      <c r="X243" s="37" t="n"/>
      <c r="Y243" s="37" t="n"/>
      <c r="Z243" s="37" t="n"/>
      <c r="AA243" s="38" t="n"/>
      <c r="AB243" s="29" t="n">
        <v>21739</v>
      </c>
      <c r="AC243" s="37" t="n"/>
      <c r="AD243" s="37" t="n"/>
      <c r="AE243" s="37" t="n"/>
      <c r="AF243" s="38" t="n"/>
      <c r="AG243" s="29" t="n">
        <v>21741</v>
      </c>
      <c r="AH243" s="37" t="n"/>
      <c r="AI243" s="38" t="n"/>
    </row>
    <row r="244" ht="17.1" customHeight="1" s="36">
      <c r="L244" s="28" t="inlineStr">
        <is>
          <t>INPCULT002</t>
        </is>
      </c>
      <c r="M244" s="37" t="n"/>
      <c r="N244" s="37" t="n"/>
      <c r="O244" s="37" t="n"/>
      <c r="P244" s="37" t="n"/>
      <c r="Q244" s="38" t="n"/>
      <c r="R244" s="28" t="inlineStr">
        <is>
          <t>010</t>
        </is>
      </c>
      <c r="S244" s="37" t="n"/>
      <c r="T244" s="37" t="n"/>
      <c r="U244" s="37" t="n"/>
      <c r="V244" s="38" t="n"/>
      <c r="W244" s="28" t="inlineStr">
        <is>
          <t>ASSURE</t>
        </is>
      </c>
      <c r="X244" s="37" t="n"/>
      <c r="Y244" s="37" t="n"/>
      <c r="Z244" s="37" t="n"/>
      <c r="AA244" s="38" t="n"/>
      <c r="AB244" s="29" t="n">
        <v>5</v>
      </c>
      <c r="AC244" s="37" t="n"/>
      <c r="AD244" s="37" t="n"/>
      <c r="AE244" s="37" t="n"/>
      <c r="AF244" s="38" t="n"/>
      <c r="AG244" s="29" t="n">
        <v>5</v>
      </c>
      <c r="AH244" s="37" t="n"/>
      <c r="AI244" s="38" t="n"/>
    </row>
    <row r="245" ht="17.1" customHeight="1" s="36">
      <c r="L245" s="28" t="inlineStr">
        <is>
          <t>INPCULT002</t>
        </is>
      </c>
      <c r="M245" s="37" t="n"/>
      <c r="N245" s="37" t="n"/>
      <c r="O245" s="37" t="n"/>
      <c r="P245" s="37" t="n"/>
      <c r="Q245" s="38" t="n"/>
      <c r="R245" s="28" t="inlineStr">
        <is>
          <t>010</t>
        </is>
      </c>
      <c r="S245" s="37" t="n"/>
      <c r="T245" s="37" t="n"/>
      <c r="U245" s="37" t="n"/>
      <c r="V245" s="38" t="n"/>
      <c r="W245" s="28" t="inlineStr">
        <is>
          <t>CONJOI</t>
        </is>
      </c>
      <c r="X245" s="37" t="n"/>
      <c r="Y245" s="37" t="n"/>
      <c r="Z245" s="37" t="n"/>
      <c r="AA245" s="38" t="n"/>
      <c r="AB245" s="29" t="n">
        <v>5</v>
      </c>
      <c r="AC245" s="37" t="n"/>
      <c r="AD245" s="37" t="n"/>
      <c r="AE245" s="37" t="n"/>
      <c r="AF245" s="38" t="n"/>
      <c r="AG245" s="29" t="n">
        <v>5</v>
      </c>
      <c r="AH245" s="37" t="n"/>
      <c r="AI245" s="38" t="n"/>
    </row>
    <row r="246" ht="17.1" customHeight="1" s="36">
      <c r="L246" s="28" t="inlineStr">
        <is>
          <t>INPMAS001</t>
        </is>
      </c>
      <c r="M246" s="37" t="n"/>
      <c r="N246" s="37" t="n"/>
      <c r="O246" s="37" t="n"/>
      <c r="P246" s="37" t="n"/>
      <c r="Q246" s="38" t="n"/>
      <c r="R246" s="28" t="inlineStr">
        <is>
          <t>073</t>
        </is>
      </c>
      <c r="S246" s="37" t="n"/>
      <c r="T246" s="37" t="n"/>
      <c r="U246" s="37" t="n"/>
      <c r="V246" s="38" t="n"/>
      <c r="W246" s="28" t="inlineStr">
        <is>
          <t>ASSURE</t>
        </is>
      </c>
      <c r="X246" s="37" t="n"/>
      <c r="Y246" s="37" t="n"/>
      <c r="Z246" s="37" t="n"/>
      <c r="AA246" s="38" t="n"/>
      <c r="AB246" s="29" t="n">
        <v>1</v>
      </c>
      <c r="AC246" s="37" t="n"/>
      <c r="AD246" s="37" t="n"/>
      <c r="AE246" s="37" t="n"/>
      <c r="AF246" s="38" t="n"/>
      <c r="AG246" s="29" t="n">
        <v>1</v>
      </c>
      <c r="AH246" s="37" t="n"/>
      <c r="AI246" s="38" t="n"/>
    </row>
    <row r="247" ht="17.1" customHeight="1" s="36">
      <c r="L247" s="28" t="inlineStr">
        <is>
          <t>INPMAS001</t>
        </is>
      </c>
      <c r="M247" s="37" t="n"/>
      <c r="N247" s="37" t="n"/>
      <c r="O247" s="37" t="n"/>
      <c r="P247" s="37" t="n"/>
      <c r="Q247" s="38" t="n"/>
      <c r="R247" s="28" t="inlineStr">
        <is>
          <t>073</t>
        </is>
      </c>
      <c r="S247" s="37" t="n"/>
      <c r="T247" s="37" t="n"/>
      <c r="U247" s="37" t="n"/>
      <c r="V247" s="38" t="n"/>
      <c r="W247" s="28" t="inlineStr">
        <is>
          <t>CONJOI</t>
        </is>
      </c>
      <c r="X247" s="37" t="n"/>
      <c r="Y247" s="37" t="n"/>
      <c r="Z247" s="37" t="n"/>
      <c r="AA247" s="38" t="n"/>
      <c r="AB247" s="29" t="n">
        <v>1</v>
      </c>
      <c r="AC247" s="37" t="n"/>
      <c r="AD247" s="37" t="n"/>
      <c r="AE247" s="37" t="n"/>
      <c r="AF247" s="38" t="n"/>
      <c r="AG247" s="29" t="n">
        <v>1</v>
      </c>
      <c r="AH247" s="37" t="n"/>
      <c r="AI247" s="38" t="n"/>
    </row>
    <row r="248" ht="17.1" customHeight="1" s="36">
      <c r="L248" s="28" t="inlineStr">
        <is>
          <t>INPPREVIND</t>
        </is>
      </c>
      <c r="M248" s="37" t="n"/>
      <c r="N248" s="37" t="n"/>
      <c r="O248" s="37" t="n"/>
      <c r="P248" s="37" t="n"/>
      <c r="Q248" s="38" t="n"/>
      <c r="R248" s="28" t="inlineStr">
        <is>
          <t>010</t>
        </is>
      </c>
      <c r="S248" s="37" t="n"/>
      <c r="T248" s="37" t="n"/>
      <c r="U248" s="37" t="n"/>
      <c r="V248" s="38" t="n"/>
      <c r="W248" s="28" t="inlineStr">
        <is>
          <t>ASSURE</t>
        </is>
      </c>
      <c r="X248" s="37" t="n"/>
      <c r="Y248" s="37" t="n"/>
      <c r="Z248" s="37" t="n"/>
      <c r="AA248" s="38" t="n"/>
      <c r="AB248" s="29" t="n">
        <v>690926</v>
      </c>
      <c r="AC248" s="37" t="n"/>
      <c r="AD248" s="37" t="n"/>
      <c r="AE248" s="37" t="n"/>
      <c r="AF248" s="38" t="n"/>
      <c r="AG248" s="29" t="n">
        <v>691892</v>
      </c>
      <c r="AH248" s="37" t="n"/>
      <c r="AI248" s="38" t="n"/>
    </row>
    <row r="249" ht="17.1" customHeight="1" s="36">
      <c r="L249" s="28" t="inlineStr">
        <is>
          <t>INSC2SG</t>
        </is>
      </c>
      <c r="M249" s="37" t="n"/>
      <c r="N249" s="37" t="n"/>
      <c r="O249" s="37" t="n"/>
      <c r="P249" s="37" t="n"/>
      <c r="Q249" s="38" t="n"/>
      <c r="R249" s="28" t="inlineStr">
        <is>
          <t>010</t>
        </is>
      </c>
      <c r="S249" s="37" t="n"/>
      <c r="T249" s="37" t="n"/>
      <c r="U249" s="37" t="n"/>
      <c r="V249" s="38" t="n"/>
      <c r="W249" s="28" t="inlineStr">
        <is>
          <t>ASSURE</t>
        </is>
      </c>
      <c r="X249" s="37" t="n"/>
      <c r="Y249" s="37" t="n"/>
      <c r="Z249" s="37" t="n"/>
      <c r="AA249" s="38" t="n"/>
      <c r="AB249" s="29" t="n">
        <v>15177</v>
      </c>
      <c r="AC249" s="37" t="n"/>
      <c r="AD249" s="37" t="n"/>
      <c r="AE249" s="37" t="n"/>
      <c r="AF249" s="38" t="n"/>
      <c r="AG249" s="29" t="n">
        <v>15651</v>
      </c>
      <c r="AH249" s="37" t="n"/>
      <c r="AI249" s="38" t="n"/>
    </row>
    <row r="250" ht="17.1" customHeight="1" s="36">
      <c r="L250" s="28" t="inlineStr">
        <is>
          <t>INSC2SG</t>
        </is>
      </c>
      <c r="M250" s="37" t="n"/>
      <c r="N250" s="37" t="n"/>
      <c r="O250" s="37" t="n"/>
      <c r="P250" s="37" t="n"/>
      <c r="Q250" s="38" t="n"/>
      <c r="R250" s="28" t="inlineStr">
        <is>
          <t>010</t>
        </is>
      </c>
      <c r="S250" s="37" t="n"/>
      <c r="T250" s="37" t="n"/>
      <c r="U250" s="37" t="n"/>
      <c r="V250" s="38" t="n"/>
      <c r="W250" s="28" t="inlineStr">
        <is>
          <t>CONJOI</t>
        </is>
      </c>
      <c r="X250" s="37" t="n"/>
      <c r="Y250" s="37" t="n"/>
      <c r="Z250" s="37" t="n"/>
      <c r="AA250" s="38" t="n"/>
      <c r="AB250" s="29" t="n">
        <v>57</v>
      </c>
      <c r="AC250" s="37" t="n"/>
      <c r="AD250" s="37" t="n"/>
      <c r="AE250" s="37" t="n"/>
      <c r="AF250" s="38" t="n"/>
      <c r="AG250" s="29" t="n">
        <v>91</v>
      </c>
      <c r="AH250" s="37" t="n"/>
      <c r="AI250" s="38" t="n"/>
    </row>
    <row r="251" ht="17.1" customHeight="1" s="36">
      <c r="L251" s="28" t="inlineStr">
        <is>
          <t>INSC2SG</t>
        </is>
      </c>
      <c r="M251" s="37" t="n"/>
      <c r="N251" s="37" t="n"/>
      <c r="O251" s="37" t="n"/>
      <c r="P251" s="37" t="n"/>
      <c r="Q251" s="38" t="n"/>
      <c r="R251" s="28" t="inlineStr">
        <is>
          <t>010</t>
        </is>
      </c>
      <c r="S251" s="37" t="n"/>
      <c r="T251" s="37" t="n"/>
      <c r="U251" s="37" t="n"/>
      <c r="V251" s="38" t="n"/>
      <c r="W251" s="28" t="inlineStr">
        <is>
          <t>ENFANT</t>
        </is>
      </c>
      <c r="X251" s="37" t="n"/>
      <c r="Y251" s="37" t="n"/>
      <c r="Z251" s="37" t="n"/>
      <c r="AA251" s="38" t="n"/>
      <c r="AB251" s="29" t="n">
        <v>6423</v>
      </c>
      <c r="AC251" s="37" t="n"/>
      <c r="AD251" s="37" t="n"/>
      <c r="AE251" s="37" t="n"/>
      <c r="AF251" s="38" t="n"/>
      <c r="AG251" s="29" t="n">
        <v>6625</v>
      </c>
      <c r="AH251" s="37" t="n"/>
      <c r="AI251" s="38" t="n"/>
    </row>
    <row r="252" ht="17.1" customHeight="1" s="36">
      <c r="L252" s="28" t="inlineStr">
        <is>
          <t>INSC2SP</t>
        </is>
      </c>
      <c r="M252" s="37" t="n"/>
      <c r="N252" s="37" t="n"/>
      <c r="O252" s="37" t="n"/>
      <c r="P252" s="37" t="n"/>
      <c r="Q252" s="38" t="n"/>
      <c r="R252" s="28" t="inlineStr">
        <is>
          <t>010</t>
        </is>
      </c>
      <c r="S252" s="37" t="n"/>
      <c r="T252" s="37" t="n"/>
      <c r="U252" s="37" t="n"/>
      <c r="V252" s="38" t="n"/>
      <c r="W252" s="28" t="inlineStr">
        <is>
          <t>ASSURE</t>
        </is>
      </c>
      <c r="X252" s="37" t="n"/>
      <c r="Y252" s="37" t="n"/>
      <c r="Z252" s="37" t="n"/>
      <c r="AA252" s="38" t="n"/>
      <c r="AB252" s="29" t="n">
        <v>10180</v>
      </c>
      <c r="AC252" s="37" t="n"/>
      <c r="AD252" s="37" t="n"/>
      <c r="AE252" s="37" t="n"/>
      <c r="AF252" s="38" t="n"/>
      <c r="AG252" s="29" t="n">
        <v>10878</v>
      </c>
      <c r="AH252" s="37" t="n"/>
      <c r="AI252" s="38" t="n"/>
    </row>
    <row r="253" ht="17.1" customHeight="1" s="36">
      <c r="L253" s="28" t="inlineStr">
        <is>
          <t>INSC2SP</t>
        </is>
      </c>
      <c r="M253" s="37" t="n"/>
      <c r="N253" s="37" t="n"/>
      <c r="O253" s="37" t="n"/>
      <c r="P253" s="37" t="n"/>
      <c r="Q253" s="38" t="n"/>
      <c r="R253" s="28" t="inlineStr">
        <is>
          <t>010</t>
        </is>
      </c>
      <c r="S253" s="37" t="n"/>
      <c r="T253" s="37" t="n"/>
      <c r="U253" s="37" t="n"/>
      <c r="V253" s="38" t="n"/>
      <c r="W253" s="28" t="inlineStr">
        <is>
          <t>CONJOI</t>
        </is>
      </c>
      <c r="X253" s="37" t="n"/>
      <c r="Y253" s="37" t="n"/>
      <c r="Z253" s="37" t="n"/>
      <c r="AA253" s="38" t="n"/>
      <c r="AB253" s="29" t="n">
        <v>755</v>
      </c>
      <c r="AC253" s="37" t="n"/>
      <c r="AD253" s="37" t="n"/>
      <c r="AE253" s="37" t="n"/>
      <c r="AF253" s="38" t="n"/>
      <c r="AG253" s="29" t="n">
        <v>785</v>
      </c>
      <c r="AH253" s="37" t="n"/>
      <c r="AI253" s="38" t="n"/>
    </row>
    <row r="254" ht="17.1" customHeight="1" s="36">
      <c r="L254" s="28" t="inlineStr">
        <is>
          <t>INSC2SP</t>
        </is>
      </c>
      <c r="M254" s="37" t="n"/>
      <c r="N254" s="37" t="n"/>
      <c r="O254" s="37" t="n"/>
      <c r="P254" s="37" t="n"/>
      <c r="Q254" s="38" t="n"/>
      <c r="R254" s="28" t="inlineStr">
        <is>
          <t>010</t>
        </is>
      </c>
      <c r="S254" s="37" t="n"/>
      <c r="T254" s="37" t="n"/>
      <c r="U254" s="37" t="n"/>
      <c r="V254" s="38" t="n"/>
      <c r="W254" s="28" t="inlineStr">
        <is>
          <t>ENFANT</t>
        </is>
      </c>
      <c r="X254" s="37" t="n"/>
      <c r="Y254" s="37" t="n"/>
      <c r="Z254" s="37" t="n"/>
      <c r="AA254" s="38" t="n"/>
      <c r="AB254" s="29" t="n">
        <v>5086</v>
      </c>
      <c r="AC254" s="37" t="n"/>
      <c r="AD254" s="37" t="n"/>
      <c r="AE254" s="37" t="n"/>
      <c r="AF254" s="38" t="n"/>
      <c r="AG254" s="29" t="n">
        <v>5226</v>
      </c>
      <c r="AH254" s="37" t="n"/>
      <c r="AI254" s="38" t="n"/>
    </row>
    <row r="255" ht="17.1" customHeight="1" s="36">
      <c r="L255" s="28" t="inlineStr">
        <is>
          <t>INSC2SS</t>
        </is>
      </c>
      <c r="M255" s="37" t="n"/>
      <c r="N255" s="37" t="n"/>
      <c r="O255" s="37" t="n"/>
      <c r="P255" s="37" t="n"/>
      <c r="Q255" s="38" t="n"/>
      <c r="R255" s="28" t="inlineStr">
        <is>
          <t>010</t>
        </is>
      </c>
      <c r="S255" s="37" t="n"/>
      <c r="T255" s="37" t="n"/>
      <c r="U255" s="37" t="n"/>
      <c r="V255" s="38" t="n"/>
      <c r="W255" s="28" t="inlineStr">
        <is>
          <t>ASSURE</t>
        </is>
      </c>
      <c r="X255" s="37" t="n"/>
      <c r="Y255" s="37" t="n"/>
      <c r="Z255" s="37" t="n"/>
      <c r="AA255" s="38" t="n"/>
      <c r="AB255" s="29" t="n">
        <v>665</v>
      </c>
      <c r="AC255" s="37" t="n"/>
      <c r="AD255" s="37" t="n"/>
      <c r="AE255" s="37" t="n"/>
      <c r="AF255" s="38" t="n"/>
      <c r="AG255" s="29" t="n">
        <v>666</v>
      </c>
      <c r="AH255" s="37" t="n"/>
      <c r="AI255" s="38" t="n"/>
    </row>
    <row r="256" ht="17.1" customHeight="1" s="36">
      <c r="L256" s="28" t="inlineStr">
        <is>
          <t>INSC2SS</t>
        </is>
      </c>
      <c r="M256" s="37" t="n"/>
      <c r="N256" s="37" t="n"/>
      <c r="O256" s="37" t="n"/>
      <c r="P256" s="37" t="n"/>
      <c r="Q256" s="38" t="n"/>
      <c r="R256" s="28" t="inlineStr">
        <is>
          <t>010</t>
        </is>
      </c>
      <c r="S256" s="37" t="n"/>
      <c r="T256" s="37" t="n"/>
      <c r="U256" s="37" t="n"/>
      <c r="V256" s="38" t="n"/>
      <c r="W256" s="28" t="inlineStr">
        <is>
          <t>CONJOI</t>
        </is>
      </c>
      <c r="X256" s="37" t="n"/>
      <c r="Y256" s="37" t="n"/>
      <c r="Z256" s="37" t="n"/>
      <c r="AA256" s="38" t="n"/>
      <c r="AB256" s="29" t="n">
        <v>79</v>
      </c>
      <c r="AC256" s="37" t="n"/>
      <c r="AD256" s="37" t="n"/>
      <c r="AE256" s="37" t="n"/>
      <c r="AF256" s="38" t="n"/>
      <c r="AG256" s="29" t="n">
        <v>79</v>
      </c>
      <c r="AH256" s="37" t="n"/>
      <c r="AI256" s="38" t="n"/>
    </row>
    <row r="257" ht="17.1" customHeight="1" s="36">
      <c r="L257" s="28" t="inlineStr">
        <is>
          <t>INSC2SS</t>
        </is>
      </c>
      <c r="M257" s="37" t="n"/>
      <c r="N257" s="37" t="n"/>
      <c r="O257" s="37" t="n"/>
      <c r="P257" s="37" t="n"/>
      <c r="Q257" s="38" t="n"/>
      <c r="R257" s="28" t="inlineStr">
        <is>
          <t>010</t>
        </is>
      </c>
      <c r="S257" s="37" t="n"/>
      <c r="T257" s="37" t="n"/>
      <c r="U257" s="37" t="n"/>
      <c r="V257" s="38" t="n"/>
      <c r="W257" s="28" t="inlineStr">
        <is>
          <t>ENFANT</t>
        </is>
      </c>
      <c r="X257" s="37" t="n"/>
      <c r="Y257" s="37" t="n"/>
      <c r="Z257" s="37" t="n"/>
      <c r="AA257" s="38" t="n"/>
      <c r="AB257" s="29" t="n">
        <v>331</v>
      </c>
      <c r="AC257" s="37" t="n"/>
      <c r="AD257" s="37" t="n"/>
      <c r="AE257" s="37" t="n"/>
      <c r="AF257" s="38" t="n"/>
      <c r="AG257" s="29" t="n">
        <v>331</v>
      </c>
      <c r="AH257" s="37" t="n"/>
      <c r="AI257" s="38" t="n"/>
    </row>
    <row r="258" ht="17.1" customHeight="1" s="36">
      <c r="L258" s="28" t="inlineStr">
        <is>
          <t>INSEFFBRED</t>
        </is>
      </c>
      <c r="M258" s="37" t="n"/>
      <c r="N258" s="37" t="n"/>
      <c r="O258" s="37" t="n"/>
      <c r="P258" s="37" t="n"/>
      <c r="Q258" s="38" t="n"/>
      <c r="R258" s="28" t="inlineStr">
        <is>
          <t>010</t>
        </is>
      </c>
      <c r="S258" s="37" t="n"/>
      <c r="T258" s="37" t="n"/>
      <c r="U258" s="37" t="n"/>
      <c r="V258" s="38" t="n"/>
      <c r="W258" s="28" t="inlineStr">
        <is>
          <t>ASSURE</t>
        </is>
      </c>
      <c r="X258" s="37" t="n"/>
      <c r="Y258" s="37" t="n"/>
      <c r="Z258" s="37" t="n"/>
      <c r="AA258" s="38" t="n"/>
      <c r="AB258" s="29" t="n">
        <v>741</v>
      </c>
      <c r="AC258" s="37" t="n"/>
      <c r="AD258" s="37" t="n"/>
      <c r="AE258" s="37" t="n"/>
      <c r="AF258" s="38" t="n"/>
      <c r="AG258" s="29" t="n">
        <v>742</v>
      </c>
      <c r="AH258" s="37" t="n"/>
      <c r="AI258" s="38" t="n"/>
    </row>
    <row r="259" ht="17.1" customHeight="1" s="36">
      <c r="L259" s="28" t="inlineStr">
        <is>
          <t>INSEFFBRED</t>
        </is>
      </c>
      <c r="M259" s="37" t="n"/>
      <c r="N259" s="37" t="n"/>
      <c r="O259" s="37" t="n"/>
      <c r="P259" s="37" t="n"/>
      <c r="Q259" s="38" t="n"/>
      <c r="R259" s="28" t="inlineStr">
        <is>
          <t>010</t>
        </is>
      </c>
      <c r="S259" s="37" t="n"/>
      <c r="T259" s="37" t="n"/>
      <c r="U259" s="37" t="n"/>
      <c r="V259" s="38" t="n"/>
      <c r="W259" s="28" t="inlineStr">
        <is>
          <t>CONJOI</t>
        </is>
      </c>
      <c r="X259" s="37" t="n"/>
      <c r="Y259" s="37" t="n"/>
      <c r="Z259" s="37" t="n"/>
      <c r="AA259" s="38" t="n"/>
      <c r="AB259" s="29" t="n">
        <v>1</v>
      </c>
      <c r="AC259" s="37" t="n"/>
      <c r="AD259" s="37" t="n"/>
      <c r="AE259" s="37" t="n"/>
      <c r="AF259" s="38" t="n"/>
      <c r="AG259" s="29" t="n">
        <v>1</v>
      </c>
      <c r="AH259" s="37" t="n"/>
      <c r="AI259" s="38" t="n"/>
    </row>
    <row r="260" ht="17.1" customHeight="1" s="36">
      <c r="L260" s="28" t="inlineStr">
        <is>
          <t>INSEFFBRED</t>
        </is>
      </c>
      <c r="M260" s="37" t="n"/>
      <c r="N260" s="37" t="n"/>
      <c r="O260" s="37" t="n"/>
      <c r="P260" s="37" t="n"/>
      <c r="Q260" s="38" t="n"/>
      <c r="R260" s="28" t="inlineStr">
        <is>
          <t>010</t>
        </is>
      </c>
      <c r="S260" s="37" t="n"/>
      <c r="T260" s="37" t="n"/>
      <c r="U260" s="37" t="n"/>
      <c r="V260" s="38" t="n"/>
      <c r="W260" s="28" t="inlineStr">
        <is>
          <t>ENFANT</t>
        </is>
      </c>
      <c r="X260" s="37" t="n"/>
      <c r="Y260" s="37" t="n"/>
      <c r="Z260" s="37" t="n"/>
      <c r="AA260" s="38" t="n"/>
      <c r="AB260" s="29" t="n">
        <v>163</v>
      </c>
      <c r="AC260" s="37" t="n"/>
      <c r="AD260" s="37" t="n"/>
      <c r="AE260" s="37" t="n"/>
      <c r="AF260" s="38" t="n"/>
      <c r="AG260" s="29" t="n">
        <v>163</v>
      </c>
      <c r="AH260" s="37" t="n"/>
      <c r="AI260" s="38" t="n"/>
    </row>
    <row r="261" ht="17.1" customHeight="1" s="36">
      <c r="L261" s="28" t="inlineStr">
        <is>
          <t>INSEFFICIE</t>
        </is>
      </c>
      <c r="M261" s="37" t="n"/>
      <c r="N261" s="37" t="n"/>
      <c r="O261" s="37" t="n"/>
      <c r="P261" s="37" t="n"/>
      <c r="Q261" s="38" t="n"/>
      <c r="R261" s="28" t="inlineStr">
        <is>
          <t>010</t>
        </is>
      </c>
      <c r="S261" s="37" t="n"/>
      <c r="T261" s="37" t="n"/>
      <c r="U261" s="37" t="n"/>
      <c r="V261" s="38" t="n"/>
      <c r="W261" s="28" t="inlineStr">
        <is>
          <t>ASSURE</t>
        </is>
      </c>
      <c r="X261" s="37" t="n"/>
      <c r="Y261" s="37" t="n"/>
      <c r="Z261" s="37" t="n"/>
      <c r="AA261" s="38" t="n"/>
      <c r="AB261" s="29" t="n">
        <v>92473</v>
      </c>
      <c r="AC261" s="37" t="n"/>
      <c r="AD261" s="37" t="n"/>
      <c r="AE261" s="37" t="n"/>
      <c r="AF261" s="38" t="n"/>
      <c r="AG261" s="29" t="n">
        <v>92503</v>
      </c>
      <c r="AH261" s="37" t="n"/>
      <c r="AI261" s="38" t="n"/>
    </row>
    <row r="262" ht="17.1" customHeight="1" s="36">
      <c r="L262" s="28" t="inlineStr">
        <is>
          <t>INSEFFICIE</t>
        </is>
      </c>
      <c r="M262" s="37" t="n"/>
      <c r="N262" s="37" t="n"/>
      <c r="O262" s="37" t="n"/>
      <c r="P262" s="37" t="n"/>
      <c r="Q262" s="38" t="n"/>
      <c r="R262" s="28" t="inlineStr">
        <is>
          <t>010</t>
        </is>
      </c>
      <c r="S262" s="37" t="n"/>
      <c r="T262" s="37" t="n"/>
      <c r="U262" s="37" t="n"/>
      <c r="V262" s="38" t="n"/>
      <c r="W262" s="28" t="inlineStr">
        <is>
          <t>CONJOI</t>
        </is>
      </c>
      <c r="X262" s="37" t="n"/>
      <c r="Y262" s="37" t="n"/>
      <c r="Z262" s="37" t="n"/>
      <c r="AA262" s="38" t="n"/>
      <c r="AB262" s="29" t="n">
        <v>58</v>
      </c>
      <c r="AC262" s="37" t="n"/>
      <c r="AD262" s="37" t="n"/>
      <c r="AE262" s="37" t="n"/>
      <c r="AF262" s="38" t="n"/>
      <c r="AG262" s="29" t="n">
        <v>58</v>
      </c>
      <c r="AH262" s="37" t="n"/>
      <c r="AI262" s="38" t="n"/>
    </row>
    <row r="263" ht="17.1" customHeight="1" s="36">
      <c r="L263" s="28" t="inlineStr">
        <is>
          <t>INSEFFICIE</t>
        </is>
      </c>
      <c r="M263" s="37" t="n"/>
      <c r="N263" s="37" t="n"/>
      <c r="O263" s="37" t="n"/>
      <c r="P263" s="37" t="n"/>
      <c r="Q263" s="38" t="n"/>
      <c r="R263" s="28" t="inlineStr">
        <is>
          <t>010</t>
        </is>
      </c>
      <c r="S263" s="37" t="n"/>
      <c r="T263" s="37" t="n"/>
      <c r="U263" s="37" t="n"/>
      <c r="V263" s="38" t="n"/>
      <c r="W263" s="28" t="inlineStr">
        <is>
          <t>ENFANT</t>
        </is>
      </c>
      <c r="X263" s="37" t="n"/>
      <c r="Y263" s="37" t="n"/>
      <c r="Z263" s="37" t="n"/>
      <c r="AA263" s="38" t="n"/>
      <c r="AB263" s="29" t="n">
        <v>19426</v>
      </c>
      <c r="AC263" s="37" t="n"/>
      <c r="AD263" s="37" t="n"/>
      <c r="AE263" s="37" t="n"/>
      <c r="AF263" s="38" t="n"/>
      <c r="AG263" s="29" t="n">
        <v>19445</v>
      </c>
      <c r="AH263" s="37" t="n"/>
      <c r="AI263" s="38" t="n"/>
    </row>
    <row r="264" ht="17.1" customHeight="1" s="36">
      <c r="L264" s="28" t="inlineStr">
        <is>
          <t>INSMAEEPNR</t>
        </is>
      </c>
      <c r="M264" s="37" t="n"/>
      <c r="N264" s="37" t="n"/>
      <c r="O264" s="37" t="n"/>
      <c r="P264" s="37" t="n"/>
      <c r="Q264" s="38" t="n"/>
      <c r="R264" s="28" t="inlineStr">
        <is>
          <t>044</t>
        </is>
      </c>
      <c r="S264" s="37" t="n"/>
      <c r="T264" s="37" t="n"/>
      <c r="U264" s="37" t="n"/>
      <c r="V264" s="38" t="n"/>
      <c r="W264" s="28" t="inlineStr">
        <is>
          <t>ASSURE</t>
        </is>
      </c>
      <c r="X264" s="37" t="n"/>
      <c r="Y264" s="37" t="n"/>
      <c r="Z264" s="37" t="n"/>
      <c r="AA264" s="38" t="n"/>
      <c r="AB264" s="29" t="n">
        <v>68</v>
      </c>
      <c r="AC264" s="37" t="n"/>
      <c r="AD264" s="37" t="n"/>
      <c r="AE264" s="37" t="n"/>
      <c r="AF264" s="38" t="n"/>
      <c r="AG264" s="29" t="n">
        <v>68</v>
      </c>
      <c r="AH264" s="37" t="n"/>
      <c r="AI264" s="38" t="n"/>
    </row>
    <row r="265" ht="17.1" customHeight="1" s="36">
      <c r="L265" s="28" t="inlineStr">
        <is>
          <t>INSMAEEPNR</t>
        </is>
      </c>
      <c r="M265" s="37" t="n"/>
      <c r="N265" s="37" t="n"/>
      <c r="O265" s="37" t="n"/>
      <c r="P265" s="37" t="n"/>
      <c r="Q265" s="38" t="n"/>
      <c r="R265" s="28" t="inlineStr">
        <is>
          <t>044</t>
        </is>
      </c>
      <c r="S265" s="37" t="n"/>
      <c r="T265" s="37" t="n"/>
      <c r="U265" s="37" t="n"/>
      <c r="V265" s="38" t="n"/>
      <c r="W265" s="28" t="inlineStr">
        <is>
          <t>CONJOI</t>
        </is>
      </c>
      <c r="X265" s="37" t="n"/>
      <c r="Y265" s="37" t="n"/>
      <c r="Z265" s="37" t="n"/>
      <c r="AA265" s="38" t="n"/>
      <c r="AB265" s="29" t="n">
        <v>26</v>
      </c>
      <c r="AC265" s="37" t="n"/>
      <c r="AD265" s="37" t="n"/>
      <c r="AE265" s="37" t="n"/>
      <c r="AF265" s="38" t="n"/>
      <c r="AG265" s="29" t="n">
        <v>26</v>
      </c>
      <c r="AH265" s="37" t="n"/>
      <c r="AI265" s="38" t="n"/>
    </row>
    <row r="266" ht="17.1" customHeight="1" s="36">
      <c r="L266" s="28" t="inlineStr">
        <is>
          <t>INSMAEEPNR</t>
        </is>
      </c>
      <c r="M266" s="37" t="n"/>
      <c r="N266" s="37" t="n"/>
      <c r="O266" s="37" t="n"/>
      <c r="P266" s="37" t="n"/>
      <c r="Q266" s="38" t="n"/>
      <c r="R266" s="28" t="inlineStr">
        <is>
          <t>044</t>
        </is>
      </c>
      <c r="S266" s="37" t="n"/>
      <c r="T266" s="37" t="n"/>
      <c r="U266" s="37" t="n"/>
      <c r="V266" s="38" t="n"/>
      <c r="W266" s="28" t="inlineStr">
        <is>
          <t>ENFANT</t>
        </is>
      </c>
      <c r="X266" s="37" t="n"/>
      <c r="Y266" s="37" t="n"/>
      <c r="Z266" s="37" t="n"/>
      <c r="AA266" s="38" t="n"/>
      <c r="AB266" s="29" t="n">
        <v>11</v>
      </c>
      <c r="AC266" s="37" t="n"/>
      <c r="AD266" s="37" t="n"/>
      <c r="AE266" s="37" t="n"/>
      <c r="AF266" s="38" t="n"/>
      <c r="AG266" s="29" t="n">
        <v>11</v>
      </c>
      <c r="AH266" s="37" t="n"/>
      <c r="AI266" s="38" t="n"/>
    </row>
    <row r="267" ht="17.1" customHeight="1" s="36">
      <c r="L267" s="28" t="inlineStr">
        <is>
          <t>INSMAEEREF</t>
        </is>
      </c>
      <c r="M267" s="37" t="n"/>
      <c r="N267" s="37" t="n"/>
      <c r="O267" s="37" t="n"/>
      <c r="P267" s="37" t="n"/>
      <c r="Q267" s="38" t="n"/>
      <c r="R267" s="28" t="inlineStr">
        <is>
          <t>044</t>
        </is>
      </c>
      <c r="S267" s="37" t="n"/>
      <c r="T267" s="37" t="n"/>
      <c r="U267" s="37" t="n"/>
      <c r="V267" s="38" t="n"/>
      <c r="W267" s="28" t="inlineStr">
        <is>
          <t>ASCEND</t>
        </is>
      </c>
      <c r="X267" s="37" t="n"/>
      <c r="Y267" s="37" t="n"/>
      <c r="Z267" s="37" t="n"/>
      <c r="AA267" s="38" t="n"/>
      <c r="AB267" s="29" t="n">
        <v>3</v>
      </c>
      <c r="AC267" s="37" t="n"/>
      <c r="AD267" s="37" t="n"/>
      <c r="AE267" s="37" t="n"/>
      <c r="AF267" s="38" t="n"/>
      <c r="AG267" s="29" t="n">
        <v>3</v>
      </c>
      <c r="AH267" s="37" t="n"/>
      <c r="AI267" s="38" t="n"/>
    </row>
    <row r="268" ht="17.1" customHeight="1" s="36">
      <c r="L268" s="28" t="inlineStr">
        <is>
          <t>INSMAEEREF</t>
        </is>
      </c>
      <c r="M268" s="37" t="n"/>
      <c r="N268" s="37" t="n"/>
      <c r="O268" s="37" t="n"/>
      <c r="P268" s="37" t="n"/>
      <c r="Q268" s="38" t="n"/>
      <c r="R268" s="28" t="inlineStr">
        <is>
          <t>044</t>
        </is>
      </c>
      <c r="S268" s="37" t="n"/>
      <c r="T268" s="37" t="n"/>
      <c r="U268" s="37" t="n"/>
      <c r="V268" s="38" t="n"/>
      <c r="W268" s="28" t="inlineStr">
        <is>
          <t>ASSURE</t>
        </is>
      </c>
      <c r="X268" s="37" t="n"/>
      <c r="Y268" s="37" t="n"/>
      <c r="Z268" s="37" t="n"/>
      <c r="AA268" s="38" t="n"/>
      <c r="AB268" s="29" t="n">
        <v>491</v>
      </c>
      <c r="AC268" s="37" t="n"/>
      <c r="AD268" s="37" t="n"/>
      <c r="AE268" s="37" t="n"/>
      <c r="AF268" s="38" t="n"/>
      <c r="AG268" s="29" t="n">
        <v>491</v>
      </c>
      <c r="AH268" s="37" t="n"/>
      <c r="AI268" s="38" t="n"/>
    </row>
    <row r="269" ht="17.1" customHeight="1" s="36">
      <c r="L269" s="28" t="inlineStr">
        <is>
          <t>INSMAEEREF</t>
        </is>
      </c>
      <c r="M269" s="37" t="n"/>
      <c r="N269" s="37" t="n"/>
      <c r="O269" s="37" t="n"/>
      <c r="P269" s="37" t="n"/>
      <c r="Q269" s="38" t="n"/>
      <c r="R269" s="28" t="inlineStr">
        <is>
          <t>044</t>
        </is>
      </c>
      <c r="S269" s="37" t="n"/>
      <c r="T269" s="37" t="n"/>
      <c r="U269" s="37" t="n"/>
      <c r="V269" s="38" t="n"/>
      <c r="W269" s="28" t="inlineStr">
        <is>
          <t>CONJOI</t>
        </is>
      </c>
      <c r="X269" s="37" t="n"/>
      <c r="Y269" s="37" t="n"/>
      <c r="Z269" s="37" t="n"/>
      <c r="AA269" s="38" t="n"/>
      <c r="AB269" s="29" t="n">
        <v>137</v>
      </c>
      <c r="AC269" s="37" t="n"/>
      <c r="AD269" s="37" t="n"/>
      <c r="AE269" s="37" t="n"/>
      <c r="AF269" s="38" t="n"/>
      <c r="AG269" s="29" t="n">
        <v>137</v>
      </c>
      <c r="AH269" s="37" t="n"/>
      <c r="AI269" s="38" t="n"/>
    </row>
    <row r="270" ht="17.1" customHeight="1" s="36">
      <c r="L270" s="28" t="inlineStr">
        <is>
          <t>INSMAEEREF</t>
        </is>
      </c>
      <c r="M270" s="37" t="n"/>
      <c r="N270" s="37" t="n"/>
      <c r="O270" s="37" t="n"/>
      <c r="P270" s="37" t="n"/>
      <c r="Q270" s="38" t="n"/>
      <c r="R270" s="28" t="inlineStr">
        <is>
          <t>044</t>
        </is>
      </c>
      <c r="S270" s="37" t="n"/>
      <c r="T270" s="37" t="n"/>
      <c r="U270" s="37" t="n"/>
      <c r="V270" s="38" t="n"/>
      <c r="W270" s="28" t="inlineStr">
        <is>
          <t>ENFANT</t>
        </is>
      </c>
      <c r="X270" s="37" t="n"/>
      <c r="Y270" s="37" t="n"/>
      <c r="Z270" s="37" t="n"/>
      <c r="AA270" s="38" t="n"/>
      <c r="AB270" s="29" t="n">
        <v>10</v>
      </c>
      <c r="AC270" s="37" t="n"/>
      <c r="AD270" s="37" t="n"/>
      <c r="AE270" s="37" t="n"/>
      <c r="AF270" s="38" t="n"/>
      <c r="AG270" s="29" t="n">
        <v>10</v>
      </c>
      <c r="AH270" s="37" t="n"/>
      <c r="AI270" s="38" t="n"/>
    </row>
    <row r="271" ht="17.1" customHeight="1" s="36">
      <c r="L271" s="28" t="inlineStr">
        <is>
          <t>INSMAEERET</t>
        </is>
      </c>
      <c r="M271" s="37" t="n"/>
      <c r="N271" s="37" t="n"/>
      <c r="O271" s="37" t="n"/>
      <c r="P271" s="37" t="n"/>
      <c r="Q271" s="38" t="n"/>
      <c r="R271" s="28" t="inlineStr">
        <is>
          <t>044</t>
        </is>
      </c>
      <c r="S271" s="37" t="n"/>
      <c r="T271" s="37" t="n"/>
      <c r="U271" s="37" t="n"/>
      <c r="V271" s="38" t="n"/>
      <c r="W271" s="28" t="inlineStr">
        <is>
          <t>ASCEND</t>
        </is>
      </c>
      <c r="X271" s="37" t="n"/>
      <c r="Y271" s="37" t="n"/>
      <c r="Z271" s="37" t="n"/>
      <c r="AA271" s="38" t="n"/>
      <c r="AB271" s="29" t="n">
        <v>12</v>
      </c>
      <c r="AC271" s="37" t="n"/>
      <c r="AD271" s="37" t="n"/>
      <c r="AE271" s="37" t="n"/>
      <c r="AF271" s="38" t="n"/>
      <c r="AG271" s="29" t="n">
        <v>12</v>
      </c>
      <c r="AH271" s="37" t="n"/>
      <c r="AI271" s="38" t="n"/>
    </row>
    <row r="272" ht="17.1" customHeight="1" s="36">
      <c r="L272" s="28" t="inlineStr">
        <is>
          <t>INSMAEERET</t>
        </is>
      </c>
      <c r="M272" s="37" t="n"/>
      <c r="N272" s="37" t="n"/>
      <c r="O272" s="37" t="n"/>
      <c r="P272" s="37" t="n"/>
      <c r="Q272" s="38" t="n"/>
      <c r="R272" s="28" t="inlineStr">
        <is>
          <t>044</t>
        </is>
      </c>
      <c r="S272" s="37" t="n"/>
      <c r="T272" s="37" t="n"/>
      <c r="U272" s="37" t="n"/>
      <c r="V272" s="38" t="n"/>
      <c r="W272" s="28" t="inlineStr">
        <is>
          <t>ASSURE</t>
        </is>
      </c>
      <c r="X272" s="37" t="n"/>
      <c r="Y272" s="37" t="n"/>
      <c r="Z272" s="37" t="n"/>
      <c r="AA272" s="38" t="n"/>
      <c r="AB272" s="29" t="n">
        <v>4193</v>
      </c>
      <c r="AC272" s="37" t="n"/>
      <c r="AD272" s="37" t="n"/>
      <c r="AE272" s="37" t="n"/>
      <c r="AF272" s="38" t="n"/>
      <c r="AG272" s="29" t="n">
        <v>4192</v>
      </c>
      <c r="AH272" s="37" t="n"/>
      <c r="AI272" s="38" t="n"/>
    </row>
    <row r="273" ht="17.1" customHeight="1" s="36">
      <c r="L273" s="28" t="inlineStr">
        <is>
          <t>INSMAEERET</t>
        </is>
      </c>
      <c r="M273" s="37" t="n"/>
      <c r="N273" s="37" t="n"/>
      <c r="O273" s="37" t="n"/>
      <c r="P273" s="37" t="n"/>
      <c r="Q273" s="38" t="n"/>
      <c r="R273" s="28" t="inlineStr">
        <is>
          <t>044</t>
        </is>
      </c>
      <c r="S273" s="37" t="n"/>
      <c r="T273" s="37" t="n"/>
      <c r="U273" s="37" t="n"/>
      <c r="V273" s="38" t="n"/>
      <c r="W273" s="28" t="inlineStr">
        <is>
          <t>CONJOI</t>
        </is>
      </c>
      <c r="X273" s="37" t="n"/>
      <c r="Y273" s="37" t="n"/>
      <c r="Z273" s="37" t="n"/>
      <c r="AA273" s="38" t="n"/>
      <c r="AB273" s="29" t="n">
        <v>1164</v>
      </c>
      <c r="AC273" s="37" t="n"/>
      <c r="AD273" s="37" t="n"/>
      <c r="AE273" s="37" t="n"/>
      <c r="AF273" s="38" t="n"/>
      <c r="AG273" s="29" t="n">
        <v>1164</v>
      </c>
      <c r="AH273" s="37" t="n"/>
      <c r="AI273" s="38" t="n"/>
    </row>
    <row r="274" ht="17.1" customHeight="1" s="36">
      <c r="L274" s="28" t="inlineStr">
        <is>
          <t>INSMAEERET</t>
        </is>
      </c>
      <c r="M274" s="37" t="n"/>
      <c r="N274" s="37" t="n"/>
      <c r="O274" s="37" t="n"/>
      <c r="P274" s="37" t="n"/>
      <c r="Q274" s="38" t="n"/>
      <c r="R274" s="28" t="inlineStr">
        <is>
          <t>044</t>
        </is>
      </c>
      <c r="S274" s="37" t="n"/>
      <c r="T274" s="37" t="n"/>
      <c r="U274" s="37" t="n"/>
      <c r="V274" s="38" t="n"/>
      <c r="W274" s="28" t="inlineStr">
        <is>
          <t>ENFANT</t>
        </is>
      </c>
      <c r="X274" s="37" t="n"/>
      <c r="Y274" s="37" t="n"/>
      <c r="Z274" s="37" t="n"/>
      <c r="AA274" s="38" t="n"/>
      <c r="AB274" s="29" t="n">
        <v>264</v>
      </c>
      <c r="AC274" s="37" t="n"/>
      <c r="AD274" s="37" t="n"/>
      <c r="AE274" s="37" t="n"/>
      <c r="AF274" s="38" t="n"/>
      <c r="AG274" s="29" t="n">
        <v>264</v>
      </c>
      <c r="AH274" s="37" t="n"/>
      <c r="AI274" s="38" t="n"/>
    </row>
    <row r="275" ht="17.1" customHeight="1" s="36">
      <c r="L275" s="28" t="inlineStr">
        <is>
          <t>INSMALT001</t>
        </is>
      </c>
      <c r="M275" s="37" t="n"/>
      <c r="N275" s="37" t="n"/>
      <c r="O275" s="37" t="n"/>
      <c r="P275" s="37" t="n"/>
      <c r="Q275" s="38" t="n"/>
      <c r="R275" s="28" t="inlineStr">
        <is>
          <t>010</t>
        </is>
      </c>
      <c r="S275" s="37" t="n"/>
      <c r="T275" s="37" t="n"/>
      <c r="U275" s="37" t="n"/>
      <c r="V275" s="38" t="n"/>
      <c r="W275" s="28" t="inlineStr">
        <is>
          <t>ASSURE</t>
        </is>
      </c>
      <c r="X275" s="37" t="n"/>
      <c r="Y275" s="37" t="n"/>
      <c r="Z275" s="37" t="n"/>
      <c r="AA275" s="38" t="n"/>
      <c r="AB275" s="29" t="n">
        <v>22132</v>
      </c>
      <c r="AC275" s="37" t="n"/>
      <c r="AD275" s="37" t="n"/>
      <c r="AE275" s="37" t="n"/>
      <c r="AF275" s="38" t="n"/>
      <c r="AG275" s="29" t="n">
        <v>22132</v>
      </c>
      <c r="AH275" s="37" t="n"/>
      <c r="AI275" s="38" t="n"/>
    </row>
    <row r="276" ht="17.1" customHeight="1" s="36">
      <c r="L276" s="28" t="inlineStr">
        <is>
          <t>INSMALT001</t>
        </is>
      </c>
      <c r="M276" s="37" t="n"/>
      <c r="N276" s="37" t="n"/>
      <c r="O276" s="37" t="n"/>
      <c r="P276" s="37" t="n"/>
      <c r="Q276" s="38" t="n"/>
      <c r="R276" s="28" t="inlineStr">
        <is>
          <t>010</t>
        </is>
      </c>
      <c r="S276" s="37" t="n"/>
      <c r="T276" s="37" t="n"/>
      <c r="U276" s="37" t="n"/>
      <c r="V276" s="38" t="n"/>
      <c r="W276" s="28" t="inlineStr">
        <is>
          <t>CONJOI</t>
        </is>
      </c>
      <c r="X276" s="37" t="n"/>
      <c r="Y276" s="37" t="n"/>
      <c r="Z276" s="37" t="n"/>
      <c r="AA276" s="38" t="n"/>
      <c r="AB276" s="29" t="n">
        <v>4111</v>
      </c>
      <c r="AC276" s="37" t="n"/>
      <c r="AD276" s="37" t="n"/>
      <c r="AE276" s="37" t="n"/>
      <c r="AF276" s="38" t="n"/>
      <c r="AG276" s="29" t="n">
        <v>4111</v>
      </c>
      <c r="AH276" s="37" t="n"/>
      <c r="AI276" s="38" t="n"/>
    </row>
    <row r="277" ht="17.1" customHeight="1" s="36">
      <c r="L277" s="28" t="inlineStr">
        <is>
          <t>INSMALT001</t>
        </is>
      </c>
      <c r="M277" s="37" t="n"/>
      <c r="N277" s="37" t="n"/>
      <c r="O277" s="37" t="n"/>
      <c r="P277" s="37" t="n"/>
      <c r="Q277" s="38" t="n"/>
      <c r="R277" s="28" t="inlineStr">
        <is>
          <t>010</t>
        </is>
      </c>
      <c r="S277" s="37" t="n"/>
      <c r="T277" s="37" t="n"/>
      <c r="U277" s="37" t="n"/>
      <c r="V277" s="38" t="n"/>
      <c r="W277" s="28" t="inlineStr">
        <is>
          <t>ENFANT</t>
        </is>
      </c>
      <c r="X277" s="37" t="n"/>
      <c r="Y277" s="37" t="n"/>
      <c r="Z277" s="37" t="n"/>
      <c r="AA277" s="38" t="n"/>
      <c r="AB277" s="29" t="n">
        <v>570</v>
      </c>
      <c r="AC277" s="37" t="n"/>
      <c r="AD277" s="37" t="n"/>
      <c r="AE277" s="37" t="n"/>
      <c r="AF277" s="38" t="n"/>
      <c r="AG277" s="29" t="n">
        <v>570</v>
      </c>
      <c r="AH277" s="37" t="n"/>
      <c r="AI277" s="38" t="n"/>
    </row>
    <row r="278" ht="17.1" customHeight="1" s="36">
      <c r="L278" s="28" t="inlineStr">
        <is>
          <t>INSMAS001</t>
        </is>
      </c>
      <c r="M278" s="37" t="n"/>
      <c r="N278" s="37" t="n"/>
      <c r="O278" s="37" t="n"/>
      <c r="P278" s="37" t="n"/>
      <c r="Q278" s="38" t="n"/>
      <c r="R278" s="28" t="inlineStr">
        <is>
          <t>010</t>
        </is>
      </c>
      <c r="S278" s="37" t="n"/>
      <c r="T278" s="37" t="n"/>
      <c r="U278" s="37" t="n"/>
      <c r="V278" s="38" t="n"/>
      <c r="W278" s="28" t="inlineStr">
        <is>
          <t>ASSURE</t>
        </is>
      </c>
      <c r="X278" s="37" t="n"/>
      <c r="Y278" s="37" t="n"/>
      <c r="Z278" s="37" t="n"/>
      <c r="AA278" s="38" t="n"/>
      <c r="AB278" s="29" t="n">
        <v>16</v>
      </c>
      <c r="AC278" s="37" t="n"/>
      <c r="AD278" s="37" t="n"/>
      <c r="AE278" s="37" t="n"/>
      <c r="AF278" s="38" t="n"/>
      <c r="AG278" s="29" t="n">
        <v>16</v>
      </c>
      <c r="AH278" s="37" t="n"/>
      <c r="AI278" s="38" t="n"/>
    </row>
    <row r="279" ht="17.1" customHeight="1" s="36">
      <c r="L279" s="28" t="inlineStr">
        <is>
          <t>INSMAS001</t>
        </is>
      </c>
      <c r="M279" s="37" t="n"/>
      <c r="N279" s="37" t="n"/>
      <c r="O279" s="37" t="n"/>
      <c r="P279" s="37" t="n"/>
      <c r="Q279" s="38" t="n"/>
      <c r="R279" s="28" t="inlineStr">
        <is>
          <t>010</t>
        </is>
      </c>
      <c r="S279" s="37" t="n"/>
      <c r="T279" s="37" t="n"/>
      <c r="U279" s="37" t="n"/>
      <c r="V279" s="38" t="n"/>
      <c r="W279" s="28" t="inlineStr">
        <is>
          <t>CONJOI</t>
        </is>
      </c>
      <c r="X279" s="37" t="n"/>
      <c r="Y279" s="37" t="n"/>
      <c r="Z279" s="37" t="n"/>
      <c r="AA279" s="38" t="n"/>
      <c r="AB279" s="29" t="n">
        <v>3</v>
      </c>
      <c r="AC279" s="37" t="n"/>
      <c r="AD279" s="37" t="n"/>
      <c r="AE279" s="37" t="n"/>
      <c r="AF279" s="38" t="n"/>
      <c r="AG279" s="29" t="n">
        <v>3</v>
      </c>
      <c r="AH279" s="37" t="n"/>
      <c r="AI279" s="38" t="n"/>
    </row>
    <row r="280" ht="17.1" customHeight="1" s="36">
      <c r="L280" s="28" t="inlineStr">
        <is>
          <t>INSMAS001</t>
        </is>
      </c>
      <c r="M280" s="37" t="n"/>
      <c r="N280" s="37" t="n"/>
      <c r="O280" s="37" t="n"/>
      <c r="P280" s="37" t="n"/>
      <c r="Q280" s="38" t="n"/>
      <c r="R280" s="28" t="inlineStr">
        <is>
          <t>010</t>
        </is>
      </c>
      <c r="S280" s="37" t="n"/>
      <c r="T280" s="37" t="n"/>
      <c r="U280" s="37" t="n"/>
      <c r="V280" s="38" t="n"/>
      <c r="W280" s="28" t="inlineStr">
        <is>
          <t>ENFANT</t>
        </is>
      </c>
      <c r="X280" s="37" t="n"/>
      <c r="Y280" s="37" t="n"/>
      <c r="Z280" s="37" t="n"/>
      <c r="AA280" s="38" t="n"/>
      <c r="AB280" s="29" t="n">
        <v>3</v>
      </c>
      <c r="AC280" s="37" t="n"/>
      <c r="AD280" s="37" t="n"/>
      <c r="AE280" s="37" t="n"/>
      <c r="AF280" s="38" t="n"/>
      <c r="AG280" s="29" t="n">
        <v>3</v>
      </c>
      <c r="AH280" s="37" t="n"/>
      <c r="AI280" s="38" t="n"/>
    </row>
    <row r="281" ht="17.1" customHeight="1" s="36">
      <c r="L281" s="28" t="inlineStr">
        <is>
          <t>INSMIOM001</t>
        </is>
      </c>
      <c r="M281" s="37" t="n"/>
      <c r="N281" s="37" t="n"/>
      <c r="O281" s="37" t="n"/>
      <c r="P281" s="37" t="n"/>
      <c r="Q281" s="38" t="n"/>
      <c r="R281" s="28" t="inlineStr">
        <is>
          <t>010</t>
        </is>
      </c>
      <c r="S281" s="37" t="n"/>
      <c r="T281" s="37" t="n"/>
      <c r="U281" s="37" t="n"/>
      <c r="V281" s="38" t="n"/>
      <c r="W281" s="28" t="inlineStr">
        <is>
          <t>ASSURE</t>
        </is>
      </c>
      <c r="X281" s="37" t="n"/>
      <c r="Y281" s="37" t="n"/>
      <c r="Z281" s="37" t="n"/>
      <c r="AA281" s="38" t="n"/>
      <c r="AB281" s="29" t="n">
        <v>327</v>
      </c>
      <c r="AC281" s="37" t="n"/>
      <c r="AD281" s="37" t="n"/>
      <c r="AE281" s="37" t="n"/>
      <c r="AF281" s="38" t="n"/>
      <c r="AG281" s="29" t="n">
        <v>334</v>
      </c>
      <c r="AH281" s="37" t="n"/>
      <c r="AI281" s="38" t="n"/>
    </row>
    <row r="282" ht="17.1" customHeight="1" s="36">
      <c r="L282" s="28" t="inlineStr">
        <is>
          <t>INSMIOM001</t>
        </is>
      </c>
      <c r="M282" s="37" t="n"/>
      <c r="N282" s="37" t="n"/>
      <c r="O282" s="37" t="n"/>
      <c r="P282" s="37" t="n"/>
      <c r="Q282" s="38" t="n"/>
      <c r="R282" s="28" t="inlineStr">
        <is>
          <t>010</t>
        </is>
      </c>
      <c r="S282" s="37" t="n"/>
      <c r="T282" s="37" t="n"/>
      <c r="U282" s="37" t="n"/>
      <c r="V282" s="38" t="n"/>
      <c r="W282" s="28" t="inlineStr">
        <is>
          <t>CONJOI</t>
        </is>
      </c>
      <c r="X282" s="37" t="n"/>
      <c r="Y282" s="37" t="n"/>
      <c r="Z282" s="37" t="n"/>
      <c r="AA282" s="38" t="n"/>
      <c r="AB282" s="29" t="n">
        <v>79</v>
      </c>
      <c r="AC282" s="37" t="n"/>
      <c r="AD282" s="37" t="n"/>
      <c r="AE282" s="37" t="n"/>
      <c r="AF282" s="38" t="n"/>
      <c r="AG282" s="29" t="n">
        <v>80</v>
      </c>
      <c r="AH282" s="37" t="n"/>
      <c r="AI282" s="38" t="n"/>
    </row>
    <row r="283" ht="17.1" customHeight="1" s="36">
      <c r="L283" s="28" t="inlineStr">
        <is>
          <t>INSMIOM001</t>
        </is>
      </c>
      <c r="M283" s="37" t="n"/>
      <c r="N283" s="37" t="n"/>
      <c r="O283" s="37" t="n"/>
      <c r="P283" s="37" t="n"/>
      <c r="Q283" s="38" t="n"/>
      <c r="R283" s="28" t="inlineStr">
        <is>
          <t>010</t>
        </is>
      </c>
      <c r="S283" s="37" t="n"/>
      <c r="T283" s="37" t="n"/>
      <c r="U283" s="37" t="n"/>
      <c r="V283" s="38" t="n"/>
      <c r="W283" s="28" t="inlineStr">
        <is>
          <t>ENFANT</t>
        </is>
      </c>
      <c r="X283" s="37" t="n"/>
      <c r="Y283" s="37" t="n"/>
      <c r="Z283" s="37" t="n"/>
      <c r="AA283" s="38" t="n"/>
      <c r="AB283" s="29" t="n">
        <v>126</v>
      </c>
      <c r="AC283" s="37" t="n"/>
      <c r="AD283" s="37" t="n"/>
      <c r="AE283" s="37" t="n"/>
      <c r="AF283" s="38" t="n"/>
      <c r="AG283" s="29" t="n">
        <v>128</v>
      </c>
      <c r="AH283" s="37" t="n"/>
      <c r="AI283" s="38" t="n"/>
    </row>
    <row r="284" ht="17.1" customHeight="1" s="36">
      <c r="L284" s="28" t="inlineStr">
        <is>
          <t>INSMTE0001</t>
        </is>
      </c>
      <c r="M284" s="37" t="n"/>
      <c r="N284" s="37" t="n"/>
      <c r="O284" s="37" t="n"/>
      <c r="P284" s="37" t="n"/>
      <c r="Q284" s="38" t="n"/>
      <c r="R284" s="28" t="inlineStr">
        <is>
          <t>010</t>
        </is>
      </c>
      <c r="S284" s="37" t="n"/>
      <c r="T284" s="37" t="n"/>
      <c r="U284" s="37" t="n"/>
      <c r="V284" s="38" t="n"/>
      <c r="W284" s="28" t="inlineStr">
        <is>
          <t>ASSURE</t>
        </is>
      </c>
      <c r="X284" s="37" t="n"/>
      <c r="Y284" s="37" t="n"/>
      <c r="Z284" s="37" t="n"/>
      <c r="AA284" s="38" t="n"/>
      <c r="AB284" s="29" t="n">
        <v>4484</v>
      </c>
      <c r="AC284" s="37" t="n"/>
      <c r="AD284" s="37" t="n"/>
      <c r="AE284" s="37" t="n"/>
      <c r="AF284" s="38" t="n"/>
      <c r="AG284" s="29" t="n">
        <v>4484</v>
      </c>
      <c r="AH284" s="37" t="n"/>
      <c r="AI284" s="38" t="n"/>
    </row>
    <row r="285" ht="17.1" customHeight="1" s="36">
      <c r="L285" s="28" t="inlineStr">
        <is>
          <t>INSMTE0001</t>
        </is>
      </c>
      <c r="M285" s="37" t="n"/>
      <c r="N285" s="37" t="n"/>
      <c r="O285" s="37" t="n"/>
      <c r="P285" s="37" t="n"/>
      <c r="Q285" s="38" t="n"/>
      <c r="R285" s="28" t="inlineStr">
        <is>
          <t>010</t>
        </is>
      </c>
      <c r="S285" s="37" t="n"/>
      <c r="T285" s="37" t="n"/>
      <c r="U285" s="37" t="n"/>
      <c r="V285" s="38" t="n"/>
      <c r="W285" s="28" t="inlineStr">
        <is>
          <t>CONJOI</t>
        </is>
      </c>
      <c r="X285" s="37" t="n"/>
      <c r="Y285" s="37" t="n"/>
      <c r="Z285" s="37" t="n"/>
      <c r="AA285" s="38" t="n"/>
      <c r="AB285" s="29" t="n">
        <v>274</v>
      </c>
      <c r="AC285" s="37" t="n"/>
      <c r="AD285" s="37" t="n"/>
      <c r="AE285" s="37" t="n"/>
      <c r="AF285" s="38" t="n"/>
      <c r="AG285" s="29" t="n">
        <v>274</v>
      </c>
      <c r="AH285" s="37" t="n"/>
      <c r="AI285" s="38" t="n"/>
    </row>
    <row r="286" ht="17.1" customHeight="1" s="36">
      <c r="L286" s="28" t="inlineStr">
        <is>
          <t>INSMTE0001</t>
        </is>
      </c>
      <c r="M286" s="37" t="n"/>
      <c r="N286" s="37" t="n"/>
      <c r="O286" s="37" t="n"/>
      <c r="P286" s="37" t="n"/>
      <c r="Q286" s="38" t="n"/>
      <c r="R286" s="28" t="inlineStr">
        <is>
          <t>010</t>
        </is>
      </c>
      <c r="S286" s="37" t="n"/>
      <c r="T286" s="37" t="n"/>
      <c r="U286" s="37" t="n"/>
      <c r="V286" s="38" t="n"/>
      <c r="W286" s="28" t="inlineStr">
        <is>
          <t>ENFANT</t>
        </is>
      </c>
      <c r="X286" s="37" t="n"/>
      <c r="Y286" s="37" t="n"/>
      <c r="Z286" s="37" t="n"/>
      <c r="AA286" s="38" t="n"/>
      <c r="AB286" s="29" t="n">
        <v>2517</v>
      </c>
      <c r="AC286" s="37" t="n"/>
      <c r="AD286" s="37" t="n"/>
      <c r="AE286" s="37" t="n"/>
      <c r="AF286" s="38" t="n"/>
      <c r="AG286" s="29" t="n">
        <v>2517</v>
      </c>
      <c r="AH286" s="37" t="n"/>
      <c r="AI286" s="38" t="n"/>
    </row>
    <row r="287" ht="17.1" customHeight="1" s="36">
      <c r="L287" s="28" t="inlineStr">
        <is>
          <t>INSMTE1001</t>
        </is>
      </c>
      <c r="M287" s="37" t="n"/>
      <c r="N287" s="37" t="n"/>
      <c r="O287" s="37" t="n"/>
      <c r="P287" s="37" t="n"/>
      <c r="Q287" s="38" t="n"/>
      <c r="R287" s="28" t="inlineStr">
        <is>
          <t>010</t>
        </is>
      </c>
      <c r="S287" s="37" t="n"/>
      <c r="T287" s="37" t="n"/>
      <c r="U287" s="37" t="n"/>
      <c r="V287" s="38" t="n"/>
      <c r="W287" s="28" t="inlineStr">
        <is>
          <t>ASSURE</t>
        </is>
      </c>
      <c r="X287" s="37" t="n"/>
      <c r="Y287" s="37" t="n"/>
      <c r="Z287" s="37" t="n"/>
      <c r="AA287" s="38" t="n"/>
      <c r="AB287" s="29" t="n">
        <v>57</v>
      </c>
      <c r="AC287" s="37" t="n"/>
      <c r="AD287" s="37" t="n"/>
      <c r="AE287" s="37" t="n"/>
      <c r="AF287" s="38" t="n"/>
      <c r="AG287" s="29" t="n">
        <v>57</v>
      </c>
      <c r="AH287" s="37" t="n"/>
      <c r="AI287" s="38" t="n"/>
    </row>
    <row r="288" ht="17.1" customHeight="1" s="36">
      <c r="L288" s="28" t="inlineStr">
        <is>
          <t>INSMTE1001</t>
        </is>
      </c>
      <c r="M288" s="37" t="n"/>
      <c r="N288" s="37" t="n"/>
      <c r="O288" s="37" t="n"/>
      <c r="P288" s="37" t="n"/>
      <c r="Q288" s="38" t="n"/>
      <c r="R288" s="28" t="inlineStr">
        <is>
          <t>010</t>
        </is>
      </c>
      <c r="S288" s="37" t="n"/>
      <c r="T288" s="37" t="n"/>
      <c r="U288" s="37" t="n"/>
      <c r="V288" s="38" t="n"/>
      <c r="W288" s="28" t="inlineStr">
        <is>
          <t>CONJOI</t>
        </is>
      </c>
      <c r="X288" s="37" t="n"/>
      <c r="Y288" s="37" t="n"/>
      <c r="Z288" s="37" t="n"/>
      <c r="AA288" s="38" t="n"/>
      <c r="AB288" s="29" t="n">
        <v>3</v>
      </c>
      <c r="AC288" s="37" t="n"/>
      <c r="AD288" s="37" t="n"/>
      <c r="AE288" s="37" t="n"/>
      <c r="AF288" s="38" t="n"/>
      <c r="AG288" s="29" t="n">
        <v>3</v>
      </c>
      <c r="AH288" s="37" t="n"/>
      <c r="AI288" s="38" t="n"/>
    </row>
    <row r="289" ht="17.1" customHeight="1" s="36">
      <c r="L289" s="28" t="inlineStr">
        <is>
          <t>INSMTE1001</t>
        </is>
      </c>
      <c r="M289" s="37" t="n"/>
      <c r="N289" s="37" t="n"/>
      <c r="O289" s="37" t="n"/>
      <c r="P289" s="37" t="n"/>
      <c r="Q289" s="38" t="n"/>
      <c r="R289" s="28" t="inlineStr">
        <is>
          <t>010</t>
        </is>
      </c>
      <c r="S289" s="37" t="n"/>
      <c r="T289" s="37" t="n"/>
      <c r="U289" s="37" t="n"/>
      <c r="V289" s="38" t="n"/>
      <c r="W289" s="28" t="inlineStr">
        <is>
          <t>ENFANT</t>
        </is>
      </c>
      <c r="X289" s="37" t="n"/>
      <c r="Y289" s="37" t="n"/>
      <c r="Z289" s="37" t="n"/>
      <c r="AA289" s="38" t="n"/>
      <c r="AB289" s="29" t="n">
        <v>5</v>
      </c>
      <c r="AC289" s="37" t="n"/>
      <c r="AD289" s="37" t="n"/>
      <c r="AE289" s="37" t="n"/>
      <c r="AF289" s="38" t="n"/>
      <c r="AG289" s="29" t="n">
        <v>5</v>
      </c>
      <c r="AH289" s="37" t="n"/>
      <c r="AI289" s="38" t="n"/>
    </row>
    <row r="290" ht="17.1" customHeight="1" s="36">
      <c r="L290" s="28" t="inlineStr">
        <is>
          <t>MEPCULT003</t>
        </is>
      </c>
      <c r="M290" s="37" t="n"/>
      <c r="N290" s="37" t="n"/>
      <c r="O290" s="37" t="n"/>
      <c r="P290" s="37" t="n"/>
      <c r="Q290" s="38" t="n"/>
      <c r="R290" s="28" t="inlineStr">
        <is>
          <t>010</t>
        </is>
      </c>
      <c r="S290" s="37" t="n"/>
      <c r="T290" s="37" t="n"/>
      <c r="U290" s="37" t="n"/>
      <c r="V290" s="38" t="n"/>
      <c r="W290" s="28" t="inlineStr">
        <is>
          <t>ASSURE</t>
        </is>
      </c>
      <c r="X290" s="37" t="n"/>
      <c r="Y290" s="37" t="n"/>
      <c r="Z290" s="37" t="n"/>
      <c r="AA290" s="38" t="n"/>
      <c r="AB290" s="29" t="n">
        <v>842</v>
      </c>
      <c r="AC290" s="37" t="n"/>
      <c r="AD290" s="37" t="n"/>
      <c r="AE290" s="37" t="n"/>
      <c r="AF290" s="38" t="n"/>
      <c r="AG290" s="29" t="n">
        <v>854</v>
      </c>
      <c r="AH290" s="37" t="n"/>
      <c r="AI290" s="38" t="n"/>
    </row>
    <row r="291" ht="17.1" customHeight="1" s="36">
      <c r="L291" s="28" t="inlineStr">
        <is>
          <t>MEPMAS001</t>
        </is>
      </c>
      <c r="M291" s="37" t="n"/>
      <c r="N291" s="37" t="n"/>
      <c r="O291" s="37" t="n"/>
      <c r="P291" s="37" t="n"/>
      <c r="Q291" s="38" t="n"/>
      <c r="R291" s="28" t="inlineStr">
        <is>
          <t>073</t>
        </is>
      </c>
      <c r="S291" s="37" t="n"/>
      <c r="T291" s="37" t="n"/>
      <c r="U291" s="37" t="n"/>
      <c r="V291" s="38" t="n"/>
      <c r="W291" s="28" t="inlineStr">
        <is>
          <t>ASSURE</t>
        </is>
      </c>
      <c r="X291" s="37" t="n"/>
      <c r="Y291" s="37" t="n"/>
      <c r="Z291" s="37" t="n"/>
      <c r="AA291" s="38" t="n"/>
      <c r="AB291" s="29" t="n">
        <v>799</v>
      </c>
      <c r="AC291" s="37" t="n"/>
      <c r="AD291" s="37" t="n"/>
      <c r="AE291" s="37" t="n"/>
      <c r="AF291" s="38" t="n"/>
      <c r="AG291" s="29" t="n">
        <v>812</v>
      </c>
      <c r="AH291" s="37" t="n"/>
      <c r="AI291" s="38" t="n"/>
    </row>
    <row r="292" ht="17.1" customHeight="1" s="36">
      <c r="L292" s="28" t="inlineStr">
        <is>
          <t>MEPMEAE001</t>
        </is>
      </c>
      <c r="M292" s="37" t="n"/>
      <c r="N292" s="37" t="n"/>
      <c r="O292" s="37" t="n"/>
      <c r="P292" s="37" t="n"/>
      <c r="Q292" s="38" t="n"/>
      <c r="R292" s="28" t="inlineStr">
        <is>
          <t>010</t>
        </is>
      </c>
      <c r="S292" s="37" t="n"/>
      <c r="T292" s="37" t="n"/>
      <c r="U292" s="37" t="n"/>
      <c r="V292" s="38" t="n"/>
      <c r="W292" s="28" t="inlineStr">
        <is>
          <t>ASSURE</t>
        </is>
      </c>
      <c r="X292" s="37" t="n"/>
      <c r="Y292" s="37" t="n"/>
      <c r="Z292" s="37" t="n"/>
      <c r="AA292" s="38" t="n"/>
      <c r="AB292" s="29" t="n">
        <v>454</v>
      </c>
      <c r="AC292" s="37" t="n"/>
      <c r="AD292" s="37" t="n"/>
      <c r="AE292" s="37" t="n"/>
      <c r="AF292" s="38" t="n"/>
      <c r="AG292" s="29" t="n">
        <v>459</v>
      </c>
      <c r="AH292" s="37" t="n"/>
      <c r="AI292" s="38" t="n"/>
    </row>
    <row r="293" ht="17.1" customHeight="1" s="36">
      <c r="L293" s="28" t="inlineStr">
        <is>
          <t>MEPMEAT002</t>
        </is>
      </c>
      <c r="M293" s="37" t="n"/>
      <c r="N293" s="37" t="n"/>
      <c r="O293" s="37" t="n"/>
      <c r="P293" s="37" t="n"/>
      <c r="Q293" s="38" t="n"/>
      <c r="R293" s="28" t="inlineStr">
        <is>
          <t>010</t>
        </is>
      </c>
      <c r="S293" s="37" t="n"/>
      <c r="T293" s="37" t="n"/>
      <c r="U293" s="37" t="n"/>
      <c r="V293" s="38" t="n"/>
      <c r="W293" s="28" t="inlineStr">
        <is>
          <t>ASSURE</t>
        </is>
      </c>
      <c r="X293" s="37" t="n"/>
      <c r="Y293" s="37" t="n"/>
      <c r="Z293" s="37" t="n"/>
      <c r="AA293" s="38" t="n"/>
      <c r="AB293" s="29" t="n">
        <v>835</v>
      </c>
      <c r="AC293" s="37" t="n"/>
      <c r="AD293" s="37" t="n"/>
      <c r="AE293" s="37" t="n"/>
      <c r="AF293" s="38" t="n"/>
      <c r="AG293" s="29" t="n">
        <v>853</v>
      </c>
      <c r="AH293" s="37" t="n"/>
      <c r="AI293" s="38" t="n"/>
    </row>
    <row r="294" ht="17.1" customHeight="1" s="36">
      <c r="L294" s="28" t="inlineStr">
        <is>
          <t>MEPMENP002</t>
        </is>
      </c>
      <c r="M294" s="37" t="n"/>
      <c r="N294" s="37" t="n"/>
      <c r="O294" s="37" t="n"/>
      <c r="P294" s="37" t="n"/>
      <c r="Q294" s="38" t="n"/>
      <c r="R294" s="28" t="inlineStr">
        <is>
          <t>010</t>
        </is>
      </c>
      <c r="S294" s="37" t="n"/>
      <c r="T294" s="37" t="n"/>
      <c r="U294" s="37" t="n"/>
      <c r="V294" s="38" t="n"/>
      <c r="W294" s="28" t="inlineStr">
        <is>
          <t>ASSURE</t>
        </is>
      </c>
      <c r="X294" s="37" t="n"/>
      <c r="Y294" s="37" t="n"/>
      <c r="Z294" s="37" t="n"/>
      <c r="AA294" s="38" t="n"/>
      <c r="AB294" s="29" t="n">
        <v>91316</v>
      </c>
      <c r="AC294" s="37" t="n"/>
      <c r="AD294" s="37" t="n"/>
      <c r="AE294" s="37" t="n"/>
      <c r="AF294" s="38" t="n"/>
      <c r="AG294" s="29" t="n">
        <v>96052</v>
      </c>
      <c r="AH294" s="37" t="n"/>
      <c r="AI294" s="38" t="n"/>
    </row>
    <row r="295" ht="17.1" customHeight="1" s="36">
      <c r="L295" s="28" t="inlineStr">
        <is>
          <t>MEPMENP201</t>
        </is>
      </c>
      <c r="M295" s="37" t="n"/>
      <c r="N295" s="37" t="n"/>
      <c r="O295" s="37" t="n"/>
      <c r="P295" s="37" t="n"/>
      <c r="Q295" s="38" t="n"/>
      <c r="R295" s="28" t="inlineStr">
        <is>
          <t>010</t>
        </is>
      </c>
      <c r="S295" s="37" t="n"/>
      <c r="T295" s="37" t="n"/>
      <c r="U295" s="37" t="n"/>
      <c r="V295" s="38" t="n"/>
      <c r="W295" s="28" t="inlineStr">
        <is>
          <t>ASSURE</t>
        </is>
      </c>
      <c r="X295" s="37" t="n"/>
      <c r="Y295" s="37" t="n"/>
      <c r="Z295" s="37" t="n"/>
      <c r="AA295" s="38" t="n"/>
      <c r="AB295" s="29" t="n">
        <v>263</v>
      </c>
      <c r="AC295" s="37" t="n"/>
      <c r="AD295" s="37" t="n"/>
      <c r="AE295" s="37" t="n"/>
      <c r="AF295" s="38" t="n"/>
      <c r="AG295" s="29" t="n">
        <v>274</v>
      </c>
      <c r="AH295" s="37" t="n"/>
      <c r="AI295" s="38" t="n"/>
    </row>
    <row r="296" ht="17.1" customHeight="1" s="36">
      <c r="L296" s="28" t="inlineStr">
        <is>
          <t>MESAPEI002</t>
        </is>
      </c>
      <c r="M296" s="37" t="n"/>
      <c r="N296" s="37" t="n"/>
      <c r="O296" s="37" t="n"/>
      <c r="P296" s="37" t="n"/>
      <c r="Q296" s="38" t="n"/>
      <c r="R296" s="28" t="inlineStr">
        <is>
          <t>052</t>
        </is>
      </c>
      <c r="S296" s="37" t="n"/>
      <c r="T296" s="37" t="n"/>
      <c r="U296" s="37" t="n"/>
      <c r="V296" s="38" t="n"/>
      <c r="W296" s="28" t="inlineStr">
        <is>
          <t>ASSURE</t>
        </is>
      </c>
      <c r="X296" s="37" t="n"/>
      <c r="Y296" s="37" t="n"/>
      <c r="Z296" s="37" t="n"/>
      <c r="AA296" s="38" t="n"/>
      <c r="AB296" s="29" t="n">
        <v>449</v>
      </c>
      <c r="AC296" s="37" t="n"/>
      <c r="AD296" s="37" t="n"/>
      <c r="AE296" s="37" t="n"/>
      <c r="AF296" s="38" t="n"/>
      <c r="AG296" s="29" t="n">
        <v>449</v>
      </c>
      <c r="AH296" s="37" t="n"/>
      <c r="AI296" s="38" t="n"/>
    </row>
    <row r="297" ht="17.1" customHeight="1" s="36">
      <c r="L297" s="28" t="inlineStr">
        <is>
          <t>MESAPEI002</t>
        </is>
      </c>
      <c r="M297" s="37" t="n"/>
      <c r="N297" s="37" t="n"/>
      <c r="O297" s="37" t="n"/>
      <c r="P297" s="37" t="n"/>
      <c r="Q297" s="38" t="n"/>
      <c r="R297" s="28" t="inlineStr">
        <is>
          <t>052</t>
        </is>
      </c>
      <c r="S297" s="37" t="n"/>
      <c r="T297" s="37" t="n"/>
      <c r="U297" s="37" t="n"/>
      <c r="V297" s="38" t="n"/>
      <c r="W297" s="28" t="inlineStr">
        <is>
          <t>CONJOI</t>
        </is>
      </c>
      <c r="X297" s="37" t="n"/>
      <c r="Y297" s="37" t="n"/>
      <c r="Z297" s="37" t="n"/>
      <c r="AA297" s="38" t="n"/>
      <c r="AB297" s="29" t="n">
        <v>80</v>
      </c>
      <c r="AC297" s="37" t="n"/>
      <c r="AD297" s="37" t="n"/>
      <c r="AE297" s="37" t="n"/>
      <c r="AF297" s="38" t="n"/>
      <c r="AG297" s="29" t="n">
        <v>80</v>
      </c>
      <c r="AH297" s="37" t="n"/>
      <c r="AI297" s="38" t="n"/>
    </row>
    <row r="298" ht="17.1" customHeight="1" s="36">
      <c r="L298" s="28" t="inlineStr">
        <is>
          <t>MESAPEI002</t>
        </is>
      </c>
      <c r="M298" s="37" t="n"/>
      <c r="N298" s="37" t="n"/>
      <c r="O298" s="37" t="n"/>
      <c r="P298" s="37" t="n"/>
      <c r="Q298" s="38" t="n"/>
      <c r="R298" s="28" t="inlineStr">
        <is>
          <t>052</t>
        </is>
      </c>
      <c r="S298" s="37" t="n"/>
      <c r="T298" s="37" t="n"/>
      <c r="U298" s="37" t="n"/>
      <c r="V298" s="38" t="n"/>
      <c r="W298" s="28" t="inlineStr">
        <is>
          <t>ENFANT</t>
        </is>
      </c>
      <c r="X298" s="37" t="n"/>
      <c r="Y298" s="37" t="n"/>
      <c r="Z298" s="37" t="n"/>
      <c r="AA298" s="38" t="n"/>
      <c r="AB298" s="29" t="n">
        <v>192</v>
      </c>
      <c r="AC298" s="37" t="n"/>
      <c r="AD298" s="37" t="n"/>
      <c r="AE298" s="37" t="n"/>
      <c r="AF298" s="38" t="n"/>
      <c r="AG298" s="29" t="n">
        <v>193</v>
      </c>
      <c r="AH298" s="37" t="n"/>
      <c r="AI298" s="38" t="n"/>
    </row>
    <row r="299" ht="17.1" customHeight="1" s="36">
      <c r="L299" s="28" t="inlineStr">
        <is>
          <t>MESBGTL004</t>
        </is>
      </c>
      <c r="M299" s="37" t="n"/>
      <c r="N299" s="37" t="n"/>
      <c r="O299" s="37" t="n"/>
      <c r="P299" s="37" t="n"/>
      <c r="Q299" s="38" t="n"/>
      <c r="R299" s="28" t="inlineStr">
        <is>
          <t>052</t>
        </is>
      </c>
      <c r="S299" s="37" t="n"/>
      <c r="T299" s="37" t="n"/>
      <c r="U299" s="37" t="n"/>
      <c r="V299" s="38" t="n"/>
      <c r="W299" s="28" t="inlineStr">
        <is>
          <t>ASSURE</t>
        </is>
      </c>
      <c r="X299" s="37" t="n"/>
      <c r="Y299" s="37" t="n"/>
      <c r="Z299" s="37" t="n"/>
      <c r="AA299" s="38" t="n"/>
      <c r="AB299" s="29" t="n">
        <v>1418</v>
      </c>
      <c r="AC299" s="37" t="n"/>
      <c r="AD299" s="37" t="n"/>
      <c r="AE299" s="37" t="n"/>
      <c r="AF299" s="38" t="n"/>
      <c r="AG299" s="29" t="n">
        <v>1418</v>
      </c>
      <c r="AH299" s="37" t="n"/>
      <c r="AI299" s="38" t="n"/>
    </row>
    <row r="300" ht="17.1" customHeight="1" s="36">
      <c r="L300" s="28" t="inlineStr">
        <is>
          <t>MESBGTL004</t>
        </is>
      </c>
      <c r="M300" s="37" t="n"/>
      <c r="N300" s="37" t="n"/>
      <c r="O300" s="37" t="n"/>
      <c r="P300" s="37" t="n"/>
      <c r="Q300" s="38" t="n"/>
      <c r="R300" s="28" t="inlineStr">
        <is>
          <t>052</t>
        </is>
      </c>
      <c r="S300" s="37" t="n"/>
      <c r="T300" s="37" t="n"/>
      <c r="U300" s="37" t="n"/>
      <c r="V300" s="38" t="n"/>
      <c r="W300" s="28" t="inlineStr">
        <is>
          <t>CONJOI</t>
        </is>
      </c>
      <c r="X300" s="37" t="n"/>
      <c r="Y300" s="37" t="n"/>
      <c r="Z300" s="37" t="n"/>
      <c r="AA300" s="38" t="n"/>
      <c r="AB300" s="29" t="n">
        <v>269</v>
      </c>
      <c r="AC300" s="37" t="n"/>
      <c r="AD300" s="37" t="n"/>
      <c r="AE300" s="37" t="n"/>
      <c r="AF300" s="38" t="n"/>
      <c r="AG300" s="29" t="n">
        <v>269</v>
      </c>
      <c r="AH300" s="37" t="n"/>
      <c r="AI300" s="38" t="n"/>
    </row>
    <row r="301" ht="17.1" customHeight="1" s="36">
      <c r="L301" s="28" t="inlineStr">
        <is>
          <t>MESBGTL004</t>
        </is>
      </c>
      <c r="M301" s="37" t="n"/>
      <c r="N301" s="37" t="n"/>
      <c r="O301" s="37" t="n"/>
      <c r="P301" s="37" t="n"/>
      <c r="Q301" s="38" t="n"/>
      <c r="R301" s="28" t="inlineStr">
        <is>
          <t>052</t>
        </is>
      </c>
      <c r="S301" s="37" t="n"/>
      <c r="T301" s="37" t="n"/>
      <c r="U301" s="37" t="n"/>
      <c r="V301" s="38" t="n"/>
      <c r="W301" s="28" t="inlineStr">
        <is>
          <t>ENFANT</t>
        </is>
      </c>
      <c r="X301" s="37" t="n"/>
      <c r="Y301" s="37" t="n"/>
      <c r="Z301" s="37" t="n"/>
      <c r="AA301" s="38" t="n"/>
      <c r="AB301" s="29" t="n">
        <v>648</v>
      </c>
      <c r="AC301" s="37" t="n"/>
      <c r="AD301" s="37" t="n"/>
      <c r="AE301" s="37" t="n"/>
      <c r="AF301" s="38" t="n"/>
      <c r="AG301" s="29" t="n">
        <v>649</v>
      </c>
      <c r="AH301" s="37" t="n"/>
      <c r="AI301" s="38" t="n"/>
    </row>
    <row r="302" ht="17.1" customHeight="1" s="36">
      <c r="L302" s="28" t="inlineStr">
        <is>
          <t>MESBSRT002</t>
        </is>
      </c>
      <c r="M302" s="37" t="n"/>
      <c r="N302" s="37" t="n"/>
      <c r="O302" s="37" t="n"/>
      <c r="P302" s="37" t="n"/>
      <c r="Q302" s="38" t="n"/>
      <c r="R302" s="28" t="inlineStr">
        <is>
          <t>052</t>
        </is>
      </c>
      <c r="S302" s="37" t="n"/>
      <c r="T302" s="37" t="n"/>
      <c r="U302" s="37" t="n"/>
      <c r="V302" s="38" t="n"/>
      <c r="W302" s="28" t="inlineStr">
        <is>
          <t>ASSURE</t>
        </is>
      </c>
      <c r="X302" s="37" t="n"/>
      <c r="Y302" s="37" t="n"/>
      <c r="Z302" s="37" t="n"/>
      <c r="AA302" s="38" t="n"/>
      <c r="AB302" s="29" t="n">
        <v>106</v>
      </c>
      <c r="AC302" s="37" t="n"/>
      <c r="AD302" s="37" t="n"/>
      <c r="AE302" s="37" t="n"/>
      <c r="AF302" s="38" t="n"/>
      <c r="AG302" s="29" t="n">
        <v>106</v>
      </c>
      <c r="AH302" s="37" t="n"/>
      <c r="AI302" s="38" t="n"/>
    </row>
    <row r="303" ht="17.1" customHeight="1" s="36">
      <c r="L303" s="28" t="inlineStr">
        <is>
          <t>MESBSRT002</t>
        </is>
      </c>
      <c r="M303" s="37" t="n"/>
      <c r="N303" s="37" t="n"/>
      <c r="O303" s="37" t="n"/>
      <c r="P303" s="37" t="n"/>
      <c r="Q303" s="38" t="n"/>
      <c r="R303" s="28" t="inlineStr">
        <is>
          <t>052</t>
        </is>
      </c>
      <c r="S303" s="37" t="n"/>
      <c r="T303" s="37" t="n"/>
      <c r="U303" s="37" t="n"/>
      <c r="V303" s="38" t="n"/>
      <c r="W303" s="28" t="inlineStr">
        <is>
          <t>CONJOI</t>
        </is>
      </c>
      <c r="X303" s="37" t="n"/>
      <c r="Y303" s="37" t="n"/>
      <c r="Z303" s="37" t="n"/>
      <c r="AA303" s="38" t="n"/>
      <c r="AB303" s="29" t="n">
        <v>37</v>
      </c>
      <c r="AC303" s="37" t="n"/>
      <c r="AD303" s="37" t="n"/>
      <c r="AE303" s="37" t="n"/>
      <c r="AF303" s="38" t="n"/>
      <c r="AG303" s="29" t="n">
        <v>37</v>
      </c>
      <c r="AH303" s="37" t="n"/>
      <c r="AI303" s="38" t="n"/>
    </row>
    <row r="304" ht="17.1" customHeight="1" s="36">
      <c r="L304" s="28" t="inlineStr">
        <is>
          <t>MESCULT002</t>
        </is>
      </c>
      <c r="M304" s="37" t="n"/>
      <c r="N304" s="37" t="n"/>
      <c r="O304" s="37" t="n"/>
      <c r="P304" s="37" t="n"/>
      <c r="Q304" s="38" t="n"/>
      <c r="R304" s="28" t="inlineStr">
        <is>
          <t>010</t>
        </is>
      </c>
      <c r="S304" s="37" t="n"/>
      <c r="T304" s="37" t="n"/>
      <c r="U304" s="37" t="n"/>
      <c r="V304" s="38" t="n"/>
      <c r="W304" s="28" t="inlineStr">
        <is>
          <t>ASSURE</t>
        </is>
      </c>
      <c r="X304" s="37" t="n"/>
      <c r="Y304" s="37" t="n"/>
      <c r="Z304" s="37" t="n"/>
      <c r="AA304" s="38" t="n"/>
      <c r="AB304" s="29" t="n">
        <v>20212</v>
      </c>
      <c r="AC304" s="37" t="n"/>
      <c r="AD304" s="37" t="n"/>
      <c r="AE304" s="37" t="n"/>
      <c r="AF304" s="38" t="n"/>
      <c r="AG304" s="29" t="n">
        <v>20224</v>
      </c>
      <c r="AH304" s="37" t="n"/>
      <c r="AI304" s="38" t="n"/>
    </row>
    <row r="305" ht="17.1" customHeight="1" s="36">
      <c r="L305" s="28" t="inlineStr">
        <is>
          <t>MESCULT002</t>
        </is>
      </c>
      <c r="M305" s="37" t="n"/>
      <c r="N305" s="37" t="n"/>
      <c r="O305" s="37" t="n"/>
      <c r="P305" s="37" t="n"/>
      <c r="Q305" s="38" t="n"/>
      <c r="R305" s="28" t="inlineStr">
        <is>
          <t>010</t>
        </is>
      </c>
      <c r="S305" s="37" t="n"/>
      <c r="T305" s="37" t="n"/>
      <c r="U305" s="37" t="n"/>
      <c r="V305" s="38" t="n"/>
      <c r="W305" s="28" t="inlineStr">
        <is>
          <t>CONJOI</t>
        </is>
      </c>
      <c r="X305" s="37" t="n"/>
      <c r="Y305" s="37" t="n"/>
      <c r="Z305" s="37" t="n"/>
      <c r="AA305" s="38" t="n"/>
      <c r="AB305" s="29" t="n">
        <v>1687</v>
      </c>
      <c r="AC305" s="37" t="n"/>
      <c r="AD305" s="37" t="n"/>
      <c r="AE305" s="37" t="n"/>
      <c r="AF305" s="38" t="n"/>
      <c r="AG305" s="29" t="n">
        <v>1697</v>
      </c>
      <c r="AH305" s="37" t="n"/>
      <c r="AI305" s="38" t="n"/>
    </row>
    <row r="306" ht="17.1" customHeight="1" s="36">
      <c r="L306" s="28" t="inlineStr">
        <is>
          <t>MESCULT002</t>
        </is>
      </c>
      <c r="M306" s="37" t="n"/>
      <c r="N306" s="37" t="n"/>
      <c r="O306" s="37" t="n"/>
      <c r="P306" s="37" t="n"/>
      <c r="Q306" s="38" t="n"/>
      <c r="R306" s="28" t="inlineStr">
        <is>
          <t>010</t>
        </is>
      </c>
      <c r="S306" s="37" t="n"/>
      <c r="T306" s="37" t="n"/>
      <c r="U306" s="37" t="n"/>
      <c r="V306" s="38" t="n"/>
      <c r="W306" s="28" t="inlineStr">
        <is>
          <t>ENFANT</t>
        </is>
      </c>
      <c r="X306" s="37" t="n"/>
      <c r="Y306" s="37" t="n"/>
      <c r="Z306" s="37" t="n"/>
      <c r="AA306" s="38" t="n"/>
      <c r="AB306" s="29" t="n">
        <v>6393</v>
      </c>
      <c r="AC306" s="37" t="n"/>
      <c r="AD306" s="37" t="n"/>
      <c r="AE306" s="37" t="n"/>
      <c r="AF306" s="38" t="n"/>
      <c r="AG306" s="29" t="n">
        <v>6417</v>
      </c>
      <c r="AH306" s="37" t="n"/>
      <c r="AI306" s="38" t="n"/>
    </row>
    <row r="307" ht="17.1" customHeight="1" s="36">
      <c r="L307" s="28" t="inlineStr">
        <is>
          <t>MESCULT101</t>
        </is>
      </c>
      <c r="M307" s="37" t="n"/>
      <c r="N307" s="37" t="n"/>
      <c r="O307" s="37" t="n"/>
      <c r="P307" s="37" t="n"/>
      <c r="Q307" s="38" t="n"/>
      <c r="R307" s="28" t="inlineStr">
        <is>
          <t>010</t>
        </is>
      </c>
      <c r="S307" s="37" t="n"/>
      <c r="T307" s="37" t="n"/>
      <c r="U307" s="37" t="n"/>
      <c r="V307" s="38" t="n"/>
      <c r="W307" s="28" t="inlineStr">
        <is>
          <t>ASSURE</t>
        </is>
      </c>
      <c r="X307" s="37" t="n"/>
      <c r="Y307" s="37" t="n"/>
      <c r="Z307" s="37" t="n"/>
      <c r="AA307" s="38" t="n"/>
      <c r="AB307" s="29" t="n">
        <v>7</v>
      </c>
      <c r="AC307" s="37" t="n"/>
      <c r="AD307" s="37" t="n"/>
      <c r="AE307" s="37" t="n"/>
      <c r="AF307" s="38" t="n"/>
      <c r="AG307" s="29" t="n">
        <v>7</v>
      </c>
      <c r="AH307" s="37" t="n"/>
      <c r="AI307" s="38" t="n"/>
    </row>
    <row r="308" ht="17.1" customHeight="1" s="36">
      <c r="L308" s="28" t="inlineStr">
        <is>
          <t>MESCULT101</t>
        </is>
      </c>
      <c r="M308" s="37" t="n"/>
      <c r="N308" s="37" t="n"/>
      <c r="O308" s="37" t="n"/>
      <c r="P308" s="37" t="n"/>
      <c r="Q308" s="38" t="n"/>
      <c r="R308" s="28" t="inlineStr">
        <is>
          <t>010</t>
        </is>
      </c>
      <c r="S308" s="37" t="n"/>
      <c r="T308" s="37" t="n"/>
      <c r="U308" s="37" t="n"/>
      <c r="V308" s="38" t="n"/>
      <c r="W308" s="28" t="inlineStr">
        <is>
          <t>ENFANT</t>
        </is>
      </c>
      <c r="X308" s="37" t="n"/>
      <c r="Y308" s="37" t="n"/>
      <c r="Z308" s="37" t="n"/>
      <c r="AA308" s="38" t="n"/>
      <c r="AB308" s="29" t="n">
        <v>4</v>
      </c>
      <c r="AC308" s="37" t="n"/>
      <c r="AD308" s="37" t="n"/>
      <c r="AE308" s="37" t="n"/>
      <c r="AF308" s="38" t="n"/>
      <c r="AG308" s="29" t="n">
        <v>4</v>
      </c>
      <c r="AH308" s="37" t="n"/>
      <c r="AI308" s="38" t="n"/>
    </row>
    <row r="309" ht="17.1" customHeight="1" s="36">
      <c r="L309" s="28" t="inlineStr">
        <is>
          <t>MESERASMUS</t>
        </is>
      </c>
      <c r="M309" s="37" t="n"/>
      <c r="N309" s="37" t="n"/>
      <c r="O309" s="37" t="n"/>
      <c r="P309" s="37" t="n"/>
      <c r="Q309" s="38" t="n"/>
      <c r="R309" s="28" t="inlineStr">
        <is>
          <t>052</t>
        </is>
      </c>
      <c r="S309" s="37" t="n"/>
      <c r="T309" s="37" t="n"/>
      <c r="U309" s="37" t="n"/>
      <c r="V309" s="38" t="n"/>
      <c r="W309" s="28" t="inlineStr">
        <is>
          <t>ASSURE</t>
        </is>
      </c>
      <c r="X309" s="37" t="n"/>
      <c r="Y309" s="37" t="n"/>
      <c r="Z309" s="37" t="n"/>
      <c r="AA309" s="38" t="n"/>
      <c r="AB309" s="29" t="n">
        <v>318</v>
      </c>
      <c r="AC309" s="37" t="n"/>
      <c r="AD309" s="37" t="n"/>
      <c r="AE309" s="37" t="n"/>
      <c r="AF309" s="38" t="n"/>
      <c r="AG309" s="29" t="n">
        <v>319</v>
      </c>
      <c r="AH309" s="37" t="n"/>
      <c r="AI309" s="38" t="n"/>
    </row>
    <row r="310" ht="17.1" customHeight="1" s="36">
      <c r="L310" s="28" t="inlineStr">
        <is>
          <t>MESERASMUS</t>
        </is>
      </c>
      <c r="M310" s="37" t="n"/>
      <c r="N310" s="37" t="n"/>
      <c r="O310" s="37" t="n"/>
      <c r="P310" s="37" t="n"/>
      <c r="Q310" s="38" t="n"/>
      <c r="R310" s="28" t="inlineStr">
        <is>
          <t>052</t>
        </is>
      </c>
      <c r="S310" s="37" t="n"/>
      <c r="T310" s="37" t="n"/>
      <c r="U310" s="37" t="n"/>
      <c r="V310" s="38" t="n"/>
      <c r="W310" s="28" t="inlineStr">
        <is>
          <t>CONJOI</t>
        </is>
      </c>
      <c r="X310" s="37" t="n"/>
      <c r="Y310" s="37" t="n"/>
      <c r="Z310" s="37" t="n"/>
      <c r="AA310" s="38" t="n"/>
      <c r="AB310" s="29" t="n">
        <v>29</v>
      </c>
      <c r="AC310" s="37" t="n"/>
      <c r="AD310" s="37" t="n"/>
      <c r="AE310" s="37" t="n"/>
      <c r="AF310" s="38" t="n"/>
      <c r="AG310" s="29" t="n">
        <v>29</v>
      </c>
      <c r="AH310" s="37" t="n"/>
      <c r="AI310" s="38" t="n"/>
    </row>
    <row r="311" ht="17.1" customHeight="1" s="36">
      <c r="L311" s="28" t="inlineStr">
        <is>
          <t>MESERASMUS</t>
        </is>
      </c>
      <c r="M311" s="37" t="n"/>
      <c r="N311" s="37" t="n"/>
      <c r="O311" s="37" t="n"/>
      <c r="P311" s="37" t="n"/>
      <c r="Q311" s="38" t="n"/>
      <c r="R311" s="28" t="inlineStr">
        <is>
          <t>052</t>
        </is>
      </c>
      <c r="S311" s="37" t="n"/>
      <c r="T311" s="37" t="n"/>
      <c r="U311" s="37" t="n"/>
      <c r="V311" s="38" t="n"/>
      <c r="W311" s="28" t="inlineStr">
        <is>
          <t>ENFANT</t>
        </is>
      </c>
      <c r="X311" s="37" t="n"/>
      <c r="Y311" s="37" t="n"/>
      <c r="Z311" s="37" t="n"/>
      <c r="AA311" s="38" t="n"/>
      <c r="AB311" s="29" t="n">
        <v>110</v>
      </c>
      <c r="AC311" s="37" t="n"/>
      <c r="AD311" s="37" t="n"/>
      <c r="AE311" s="37" t="n"/>
      <c r="AF311" s="38" t="n"/>
      <c r="AG311" s="29" t="n">
        <v>110</v>
      </c>
      <c r="AH311" s="37" t="n"/>
      <c r="AI311" s="38" t="n"/>
    </row>
    <row r="312" ht="17.1" customHeight="1" s="36">
      <c r="L312" s="28" t="inlineStr">
        <is>
          <t>MESESEA001</t>
        </is>
      </c>
      <c r="M312" s="37" t="n"/>
      <c r="N312" s="37" t="n"/>
      <c r="O312" s="37" t="n"/>
      <c r="P312" s="37" t="n"/>
      <c r="Q312" s="38" t="n"/>
      <c r="R312" s="28" t="inlineStr">
        <is>
          <t>052</t>
        </is>
      </c>
      <c r="S312" s="37" t="n"/>
      <c r="T312" s="37" t="n"/>
      <c r="U312" s="37" t="n"/>
      <c r="V312" s="38" t="n"/>
      <c r="W312" s="28" t="inlineStr">
        <is>
          <t>ASSURE</t>
        </is>
      </c>
      <c r="X312" s="37" t="n"/>
      <c r="Y312" s="37" t="n"/>
      <c r="Z312" s="37" t="n"/>
      <c r="AA312" s="38" t="n"/>
      <c r="AB312" s="29" t="n">
        <v>103</v>
      </c>
      <c r="AC312" s="37" t="n"/>
      <c r="AD312" s="37" t="n"/>
      <c r="AE312" s="37" t="n"/>
      <c r="AF312" s="38" t="n"/>
      <c r="AG312" s="29" t="n">
        <v>104</v>
      </c>
      <c r="AH312" s="37" t="n"/>
      <c r="AI312" s="38" t="n"/>
    </row>
    <row r="313" ht="17.1" customHeight="1" s="36">
      <c r="L313" s="28" t="inlineStr">
        <is>
          <t>MESESEA001</t>
        </is>
      </c>
      <c r="M313" s="37" t="n"/>
      <c r="N313" s="37" t="n"/>
      <c r="O313" s="37" t="n"/>
      <c r="P313" s="37" t="n"/>
      <c r="Q313" s="38" t="n"/>
      <c r="R313" s="28" t="inlineStr">
        <is>
          <t>052</t>
        </is>
      </c>
      <c r="S313" s="37" t="n"/>
      <c r="T313" s="37" t="n"/>
      <c r="U313" s="37" t="n"/>
      <c r="V313" s="38" t="n"/>
      <c r="W313" s="28" t="inlineStr">
        <is>
          <t>CONJOI</t>
        </is>
      </c>
      <c r="X313" s="37" t="n"/>
      <c r="Y313" s="37" t="n"/>
      <c r="Z313" s="37" t="n"/>
      <c r="AA313" s="38" t="n"/>
      <c r="AB313" s="29" t="n">
        <v>10</v>
      </c>
      <c r="AC313" s="37" t="n"/>
      <c r="AD313" s="37" t="n"/>
      <c r="AE313" s="37" t="n"/>
      <c r="AF313" s="38" t="n"/>
      <c r="AG313" s="29" t="n">
        <v>10</v>
      </c>
      <c r="AH313" s="37" t="n"/>
      <c r="AI313" s="38" t="n"/>
    </row>
    <row r="314" ht="17.1" customHeight="1" s="36">
      <c r="L314" s="28" t="inlineStr">
        <is>
          <t>MESESEA001</t>
        </is>
      </c>
      <c r="M314" s="37" t="n"/>
      <c r="N314" s="37" t="n"/>
      <c r="O314" s="37" t="n"/>
      <c r="P314" s="37" t="n"/>
      <c r="Q314" s="38" t="n"/>
      <c r="R314" s="28" t="inlineStr">
        <is>
          <t>052</t>
        </is>
      </c>
      <c r="S314" s="37" t="n"/>
      <c r="T314" s="37" t="n"/>
      <c r="U314" s="37" t="n"/>
      <c r="V314" s="38" t="n"/>
      <c r="W314" s="28" t="inlineStr">
        <is>
          <t>ENFANT</t>
        </is>
      </c>
      <c r="X314" s="37" t="n"/>
      <c r="Y314" s="37" t="n"/>
      <c r="Z314" s="37" t="n"/>
      <c r="AA314" s="38" t="n"/>
      <c r="AB314" s="29" t="n">
        <v>37</v>
      </c>
      <c r="AC314" s="37" t="n"/>
      <c r="AD314" s="37" t="n"/>
      <c r="AE314" s="37" t="n"/>
      <c r="AF314" s="38" t="n"/>
      <c r="AG314" s="29" t="n">
        <v>37</v>
      </c>
      <c r="AH314" s="37" t="n"/>
      <c r="AI314" s="38" t="n"/>
    </row>
    <row r="315" ht="17.1" customHeight="1" s="36">
      <c r="L315" s="28" t="inlineStr">
        <is>
          <t>MESFRVL001</t>
        </is>
      </c>
      <c r="M315" s="37" t="n"/>
      <c r="N315" s="37" t="n"/>
      <c r="O315" s="37" t="n"/>
      <c r="P315" s="37" t="n"/>
      <c r="Q315" s="38" t="n"/>
      <c r="R315" s="28" t="inlineStr">
        <is>
          <t>052</t>
        </is>
      </c>
      <c r="S315" s="37" t="n"/>
      <c r="T315" s="37" t="n"/>
      <c r="U315" s="37" t="n"/>
      <c r="V315" s="38" t="n"/>
      <c r="W315" s="28" t="inlineStr">
        <is>
          <t>ASSURE</t>
        </is>
      </c>
      <c r="X315" s="37" t="n"/>
      <c r="Y315" s="37" t="n"/>
      <c r="Z315" s="37" t="n"/>
      <c r="AA315" s="38" t="n"/>
      <c r="AB315" s="29" t="n">
        <v>47</v>
      </c>
      <c r="AC315" s="37" t="n"/>
      <c r="AD315" s="37" t="n"/>
      <c r="AE315" s="37" t="n"/>
      <c r="AF315" s="38" t="n"/>
      <c r="AG315" s="29" t="n">
        <v>47</v>
      </c>
      <c r="AH315" s="37" t="n"/>
      <c r="AI315" s="38" t="n"/>
    </row>
    <row r="316" ht="17.1" customHeight="1" s="36">
      <c r="L316" s="28" t="inlineStr">
        <is>
          <t>MESFRVL001</t>
        </is>
      </c>
      <c r="M316" s="37" t="n"/>
      <c r="N316" s="37" t="n"/>
      <c r="O316" s="37" t="n"/>
      <c r="P316" s="37" t="n"/>
      <c r="Q316" s="38" t="n"/>
      <c r="R316" s="28" t="inlineStr">
        <is>
          <t>052</t>
        </is>
      </c>
      <c r="S316" s="37" t="n"/>
      <c r="T316" s="37" t="n"/>
      <c r="U316" s="37" t="n"/>
      <c r="V316" s="38" t="n"/>
      <c r="W316" s="28" t="inlineStr">
        <is>
          <t>CONJOI</t>
        </is>
      </c>
      <c r="X316" s="37" t="n"/>
      <c r="Y316" s="37" t="n"/>
      <c r="Z316" s="37" t="n"/>
      <c r="AA316" s="38" t="n"/>
      <c r="AB316" s="29" t="n">
        <v>18</v>
      </c>
      <c r="AC316" s="37" t="n"/>
      <c r="AD316" s="37" t="n"/>
      <c r="AE316" s="37" t="n"/>
      <c r="AF316" s="38" t="n"/>
      <c r="AG316" s="29" t="n">
        <v>18</v>
      </c>
      <c r="AH316" s="37" t="n"/>
      <c r="AI316" s="38" t="n"/>
    </row>
    <row r="317" ht="17.1" customHeight="1" s="36">
      <c r="L317" s="28" t="inlineStr">
        <is>
          <t>MESFRVL001</t>
        </is>
      </c>
      <c r="M317" s="37" t="n"/>
      <c r="N317" s="37" t="n"/>
      <c r="O317" s="37" t="n"/>
      <c r="P317" s="37" t="n"/>
      <c r="Q317" s="38" t="n"/>
      <c r="R317" s="28" t="inlineStr">
        <is>
          <t>052</t>
        </is>
      </c>
      <c r="S317" s="37" t="n"/>
      <c r="T317" s="37" t="n"/>
      <c r="U317" s="37" t="n"/>
      <c r="V317" s="38" t="n"/>
      <c r="W317" s="28" t="inlineStr">
        <is>
          <t>ENFANT</t>
        </is>
      </c>
      <c r="X317" s="37" t="n"/>
      <c r="Y317" s="37" t="n"/>
      <c r="Z317" s="37" t="n"/>
      <c r="AA317" s="38" t="n"/>
      <c r="AB317" s="29" t="n">
        <v>35</v>
      </c>
      <c r="AC317" s="37" t="n"/>
      <c r="AD317" s="37" t="n"/>
      <c r="AE317" s="37" t="n"/>
      <c r="AF317" s="38" t="n"/>
      <c r="AG317" s="29" t="n">
        <v>35</v>
      </c>
      <c r="AH317" s="37" t="n"/>
      <c r="AI317" s="38" t="n"/>
    </row>
    <row r="318" ht="17.1" customHeight="1" s="36">
      <c r="L318" s="28" t="inlineStr">
        <is>
          <t>MESGMMS004</t>
        </is>
      </c>
      <c r="M318" s="37" t="n"/>
      <c r="N318" s="37" t="n"/>
      <c r="O318" s="37" t="n"/>
      <c r="P318" s="37" t="n"/>
      <c r="Q318" s="38" t="n"/>
      <c r="R318" s="28" t="inlineStr">
        <is>
          <t>052</t>
        </is>
      </c>
      <c r="S318" s="37" t="n"/>
      <c r="T318" s="37" t="n"/>
      <c r="U318" s="37" t="n"/>
      <c r="V318" s="38" t="n"/>
      <c r="W318" s="28" t="inlineStr">
        <is>
          <t>ASSURE</t>
        </is>
      </c>
      <c r="X318" s="37" t="n"/>
      <c r="Y318" s="37" t="n"/>
      <c r="Z318" s="37" t="n"/>
      <c r="AA318" s="38" t="n"/>
      <c r="AB318" s="29" t="n">
        <v>406</v>
      </c>
      <c r="AC318" s="37" t="n"/>
      <c r="AD318" s="37" t="n"/>
      <c r="AE318" s="37" t="n"/>
      <c r="AF318" s="38" t="n"/>
      <c r="AG318" s="29" t="n">
        <v>408</v>
      </c>
      <c r="AH318" s="37" t="n"/>
      <c r="AI318" s="38" t="n"/>
    </row>
    <row r="319" ht="17.1" customHeight="1" s="36">
      <c r="L319" s="28" t="inlineStr">
        <is>
          <t>MESGMMS004</t>
        </is>
      </c>
      <c r="M319" s="37" t="n"/>
      <c r="N319" s="37" t="n"/>
      <c r="O319" s="37" t="n"/>
      <c r="P319" s="37" t="n"/>
      <c r="Q319" s="38" t="n"/>
      <c r="R319" s="28" t="inlineStr">
        <is>
          <t>052</t>
        </is>
      </c>
      <c r="S319" s="37" t="n"/>
      <c r="T319" s="37" t="n"/>
      <c r="U319" s="37" t="n"/>
      <c r="V319" s="38" t="n"/>
      <c r="W319" s="28" t="inlineStr">
        <is>
          <t>CONJOI</t>
        </is>
      </c>
      <c r="X319" s="37" t="n"/>
      <c r="Y319" s="37" t="n"/>
      <c r="Z319" s="37" t="n"/>
      <c r="AA319" s="38" t="n"/>
      <c r="AB319" s="29" t="n">
        <v>34</v>
      </c>
      <c r="AC319" s="37" t="n"/>
      <c r="AD319" s="37" t="n"/>
      <c r="AE319" s="37" t="n"/>
      <c r="AF319" s="38" t="n"/>
      <c r="AG319" s="29" t="n">
        <v>35</v>
      </c>
      <c r="AH319" s="37" t="n"/>
      <c r="AI319" s="38" t="n"/>
    </row>
    <row r="320" ht="17.1" customHeight="1" s="36">
      <c r="L320" s="28" t="inlineStr">
        <is>
          <t>MESGMMS004</t>
        </is>
      </c>
      <c r="M320" s="37" t="n"/>
      <c r="N320" s="37" t="n"/>
      <c r="O320" s="37" t="n"/>
      <c r="P320" s="37" t="n"/>
      <c r="Q320" s="38" t="n"/>
      <c r="R320" s="28" t="inlineStr">
        <is>
          <t>052</t>
        </is>
      </c>
      <c r="S320" s="37" t="n"/>
      <c r="T320" s="37" t="n"/>
      <c r="U320" s="37" t="n"/>
      <c r="V320" s="38" t="n"/>
      <c r="W320" s="28" t="inlineStr">
        <is>
          <t>ENFANT</t>
        </is>
      </c>
      <c r="X320" s="37" t="n"/>
      <c r="Y320" s="37" t="n"/>
      <c r="Z320" s="37" t="n"/>
      <c r="AA320" s="38" t="n"/>
      <c r="AB320" s="29" t="n">
        <v>154</v>
      </c>
      <c r="AC320" s="37" t="n"/>
      <c r="AD320" s="37" t="n"/>
      <c r="AE320" s="37" t="n"/>
      <c r="AF320" s="38" t="n"/>
      <c r="AG320" s="29" t="n">
        <v>155</v>
      </c>
      <c r="AH320" s="37" t="n"/>
      <c r="AI320" s="38" t="n"/>
    </row>
    <row r="321" ht="17.1" customHeight="1" s="36">
      <c r="L321" s="28" t="inlineStr">
        <is>
          <t>MESINOV003</t>
        </is>
      </c>
      <c r="M321" s="37" t="n"/>
      <c r="N321" s="37" t="n"/>
      <c r="O321" s="37" t="n"/>
      <c r="P321" s="37" t="n"/>
      <c r="Q321" s="38" t="n"/>
      <c r="R321" s="28" t="inlineStr">
        <is>
          <t>052</t>
        </is>
      </c>
      <c r="S321" s="37" t="n"/>
      <c r="T321" s="37" t="n"/>
      <c r="U321" s="37" t="n"/>
      <c r="V321" s="38" t="n"/>
      <c r="W321" s="28" t="inlineStr">
        <is>
          <t>ASSURE</t>
        </is>
      </c>
      <c r="X321" s="37" t="n"/>
      <c r="Y321" s="37" t="n"/>
      <c r="Z321" s="37" t="n"/>
      <c r="AA321" s="38" t="n"/>
      <c r="AB321" s="29" t="n">
        <v>258</v>
      </c>
      <c r="AC321" s="37" t="n"/>
      <c r="AD321" s="37" t="n"/>
      <c r="AE321" s="37" t="n"/>
      <c r="AF321" s="38" t="n"/>
      <c r="AG321" s="29" t="n">
        <v>258</v>
      </c>
      <c r="AH321" s="37" t="n"/>
      <c r="AI321" s="38" t="n"/>
    </row>
    <row r="322" ht="17.1" customHeight="1" s="36">
      <c r="L322" s="28" t="inlineStr">
        <is>
          <t>MESINOV003</t>
        </is>
      </c>
      <c r="M322" s="37" t="n"/>
      <c r="N322" s="37" t="n"/>
      <c r="O322" s="37" t="n"/>
      <c r="P322" s="37" t="n"/>
      <c r="Q322" s="38" t="n"/>
      <c r="R322" s="28" t="inlineStr">
        <is>
          <t>052</t>
        </is>
      </c>
      <c r="S322" s="37" t="n"/>
      <c r="T322" s="37" t="n"/>
      <c r="U322" s="37" t="n"/>
      <c r="V322" s="38" t="n"/>
      <c r="W322" s="28" t="inlineStr">
        <is>
          <t>CONJOI</t>
        </is>
      </c>
      <c r="X322" s="37" t="n"/>
      <c r="Y322" s="37" t="n"/>
      <c r="Z322" s="37" t="n"/>
      <c r="AA322" s="38" t="n"/>
      <c r="AB322" s="29" t="n">
        <v>26</v>
      </c>
      <c r="AC322" s="37" t="n"/>
      <c r="AD322" s="37" t="n"/>
      <c r="AE322" s="37" t="n"/>
      <c r="AF322" s="38" t="n"/>
      <c r="AG322" s="29" t="n">
        <v>26</v>
      </c>
      <c r="AH322" s="37" t="n"/>
      <c r="AI322" s="38" t="n"/>
    </row>
    <row r="323" ht="17.1" customHeight="1" s="36">
      <c r="L323" s="28" t="inlineStr">
        <is>
          <t>MESINOV003</t>
        </is>
      </c>
      <c r="M323" s="37" t="n"/>
      <c r="N323" s="37" t="n"/>
      <c r="O323" s="37" t="n"/>
      <c r="P323" s="37" t="n"/>
      <c r="Q323" s="38" t="n"/>
      <c r="R323" s="28" t="inlineStr">
        <is>
          <t>052</t>
        </is>
      </c>
      <c r="S323" s="37" t="n"/>
      <c r="T323" s="37" t="n"/>
      <c r="U323" s="37" t="n"/>
      <c r="V323" s="38" t="n"/>
      <c r="W323" s="28" t="inlineStr">
        <is>
          <t>ENFANT</t>
        </is>
      </c>
      <c r="X323" s="37" t="n"/>
      <c r="Y323" s="37" t="n"/>
      <c r="Z323" s="37" t="n"/>
      <c r="AA323" s="38" t="n"/>
      <c r="AB323" s="29" t="n">
        <v>92</v>
      </c>
      <c r="AC323" s="37" t="n"/>
      <c r="AD323" s="37" t="n"/>
      <c r="AE323" s="37" t="n"/>
      <c r="AF323" s="38" t="n"/>
      <c r="AG323" s="29" t="n">
        <v>93</v>
      </c>
      <c r="AH323" s="37" t="n"/>
      <c r="AI323" s="38" t="n"/>
    </row>
    <row r="324" ht="17.1" customHeight="1" s="36">
      <c r="L324" s="28" t="inlineStr">
        <is>
          <t>MESJUAD002</t>
        </is>
      </c>
      <c r="M324" s="37" t="n"/>
      <c r="N324" s="37" t="n"/>
      <c r="O324" s="37" t="n"/>
      <c r="P324" s="37" t="n"/>
      <c r="Q324" s="38" t="n"/>
      <c r="R324" s="28" t="inlineStr">
        <is>
          <t>010</t>
        </is>
      </c>
      <c r="S324" s="37" t="n"/>
      <c r="T324" s="37" t="n"/>
      <c r="U324" s="37" t="n"/>
      <c r="V324" s="38" t="n"/>
      <c r="W324" s="28" t="inlineStr">
        <is>
          <t>ASSURE</t>
        </is>
      </c>
      <c r="X324" s="37" t="n"/>
      <c r="Y324" s="37" t="n"/>
      <c r="Z324" s="37" t="n"/>
      <c r="AA324" s="38" t="n"/>
      <c r="AB324" s="29" t="n">
        <v>3100</v>
      </c>
      <c r="AC324" s="37" t="n"/>
      <c r="AD324" s="37" t="n"/>
      <c r="AE324" s="37" t="n"/>
      <c r="AF324" s="38" t="n"/>
      <c r="AG324" s="29" t="n">
        <v>3113</v>
      </c>
      <c r="AH324" s="37" t="n"/>
      <c r="AI324" s="38" t="n"/>
    </row>
    <row r="325" ht="17.1" customHeight="1" s="36">
      <c r="L325" s="28" t="inlineStr">
        <is>
          <t>MESJUAD002</t>
        </is>
      </c>
      <c r="M325" s="37" t="n"/>
      <c r="N325" s="37" t="n"/>
      <c r="O325" s="37" t="n"/>
      <c r="P325" s="37" t="n"/>
      <c r="Q325" s="38" t="n"/>
      <c r="R325" s="28" t="inlineStr">
        <is>
          <t>010</t>
        </is>
      </c>
      <c r="S325" s="37" t="n"/>
      <c r="T325" s="37" t="n"/>
      <c r="U325" s="37" t="n"/>
      <c r="V325" s="38" t="n"/>
      <c r="W325" s="28" t="inlineStr">
        <is>
          <t>CONJOI</t>
        </is>
      </c>
      <c r="X325" s="37" t="n"/>
      <c r="Y325" s="37" t="n"/>
      <c r="Z325" s="37" t="n"/>
      <c r="AA325" s="38" t="n"/>
      <c r="AB325" s="29" t="n">
        <v>298</v>
      </c>
      <c r="AC325" s="37" t="n"/>
      <c r="AD325" s="37" t="n"/>
      <c r="AE325" s="37" t="n"/>
      <c r="AF325" s="38" t="n"/>
      <c r="AG325" s="29" t="n">
        <v>299</v>
      </c>
      <c r="AH325" s="37" t="n"/>
      <c r="AI325" s="38" t="n"/>
    </row>
    <row r="326" ht="17.1" customHeight="1" s="36">
      <c r="L326" s="28" t="inlineStr">
        <is>
          <t>MESJUAD002</t>
        </is>
      </c>
      <c r="M326" s="37" t="n"/>
      <c r="N326" s="37" t="n"/>
      <c r="O326" s="37" t="n"/>
      <c r="P326" s="37" t="n"/>
      <c r="Q326" s="38" t="n"/>
      <c r="R326" s="28" t="inlineStr">
        <is>
          <t>010</t>
        </is>
      </c>
      <c r="S326" s="37" t="n"/>
      <c r="T326" s="37" t="n"/>
      <c r="U326" s="37" t="n"/>
      <c r="V326" s="38" t="n"/>
      <c r="W326" s="28" t="inlineStr">
        <is>
          <t>ENFANT</t>
        </is>
      </c>
      <c r="X326" s="37" t="n"/>
      <c r="Y326" s="37" t="n"/>
      <c r="Z326" s="37" t="n"/>
      <c r="AA326" s="38" t="n"/>
      <c r="AB326" s="29" t="n">
        <v>1217</v>
      </c>
      <c r="AC326" s="37" t="n"/>
      <c r="AD326" s="37" t="n"/>
      <c r="AE326" s="37" t="n"/>
      <c r="AF326" s="38" t="n"/>
      <c r="AG326" s="29" t="n">
        <v>1226</v>
      </c>
      <c r="AH326" s="37" t="n"/>
      <c r="AI326" s="38" t="n"/>
    </row>
    <row r="327" ht="17.1" customHeight="1" s="36">
      <c r="L327" s="28" t="inlineStr">
        <is>
          <t>MESJUAM005</t>
        </is>
      </c>
      <c r="M327" s="37" t="n"/>
      <c r="N327" s="37" t="n"/>
      <c r="O327" s="37" t="n"/>
      <c r="P327" s="37" t="n"/>
      <c r="Q327" s="38" t="n"/>
      <c r="R327" s="28" t="inlineStr">
        <is>
          <t>010</t>
        </is>
      </c>
      <c r="S327" s="37" t="n"/>
      <c r="T327" s="37" t="n"/>
      <c r="U327" s="37" t="n"/>
      <c r="V327" s="38" t="n"/>
      <c r="W327" s="28" t="inlineStr">
        <is>
          <t>ASSURE</t>
        </is>
      </c>
      <c r="X327" s="37" t="n"/>
      <c r="Y327" s="37" t="n"/>
      <c r="Z327" s="37" t="n"/>
      <c r="AA327" s="38" t="n"/>
      <c r="AB327" s="29" t="n">
        <v>4</v>
      </c>
      <c r="AC327" s="37" t="n"/>
      <c r="AD327" s="37" t="n"/>
      <c r="AE327" s="37" t="n"/>
      <c r="AF327" s="38" t="n"/>
      <c r="AG327" s="29" t="n">
        <v>4</v>
      </c>
      <c r="AH327" s="37" t="n"/>
      <c r="AI327" s="38" t="n"/>
    </row>
    <row r="328" ht="17.1" customHeight="1" s="36">
      <c r="L328" s="28" t="inlineStr">
        <is>
          <t>MESJUAM005</t>
        </is>
      </c>
      <c r="M328" s="37" t="n"/>
      <c r="N328" s="37" t="n"/>
      <c r="O328" s="37" t="n"/>
      <c r="P328" s="37" t="n"/>
      <c r="Q328" s="38" t="n"/>
      <c r="R328" s="28" t="inlineStr">
        <is>
          <t>010</t>
        </is>
      </c>
      <c r="S328" s="37" t="n"/>
      <c r="T328" s="37" t="n"/>
      <c r="U328" s="37" t="n"/>
      <c r="V328" s="38" t="n"/>
      <c r="W328" s="28" t="inlineStr">
        <is>
          <t>ENFANT</t>
        </is>
      </c>
      <c r="X328" s="37" t="n"/>
      <c r="Y328" s="37" t="n"/>
      <c r="Z328" s="37" t="n"/>
      <c r="AA328" s="38" t="n"/>
      <c r="AB328" s="29" t="n">
        <v>2</v>
      </c>
      <c r="AC328" s="37" t="n"/>
      <c r="AD328" s="37" t="n"/>
      <c r="AE328" s="37" t="n"/>
      <c r="AF328" s="38" t="n"/>
      <c r="AG328" s="29" t="n">
        <v>2</v>
      </c>
      <c r="AH328" s="37" t="n"/>
      <c r="AI328" s="38" t="n"/>
    </row>
    <row r="329" ht="17.1" customHeight="1" s="36">
      <c r="L329" s="28" t="inlineStr">
        <is>
          <t>MESLAD46</t>
        </is>
      </c>
      <c r="M329" s="37" t="n"/>
      <c r="N329" s="37" t="n"/>
      <c r="O329" s="37" t="n"/>
      <c r="P329" s="37" t="n"/>
      <c r="Q329" s="38" t="n"/>
      <c r="R329" s="28" t="inlineStr">
        <is>
          <t>052</t>
        </is>
      </c>
      <c r="S329" s="37" t="n"/>
      <c r="T329" s="37" t="n"/>
      <c r="U329" s="37" t="n"/>
      <c r="V329" s="38" t="n"/>
      <c r="W329" s="28" t="inlineStr">
        <is>
          <t>ASSURE</t>
        </is>
      </c>
      <c r="X329" s="37" t="n"/>
      <c r="Y329" s="37" t="n"/>
      <c r="Z329" s="37" t="n"/>
      <c r="AA329" s="38" t="n"/>
      <c r="AB329" s="29" t="n">
        <v>596</v>
      </c>
      <c r="AC329" s="37" t="n"/>
      <c r="AD329" s="37" t="n"/>
      <c r="AE329" s="37" t="n"/>
      <c r="AF329" s="38" t="n"/>
      <c r="AG329" s="29" t="n">
        <v>596</v>
      </c>
      <c r="AH329" s="37" t="n"/>
      <c r="AI329" s="38" t="n"/>
    </row>
    <row r="330" ht="17.1" customHeight="1" s="36">
      <c r="L330" s="28" t="inlineStr">
        <is>
          <t>MESLAD46</t>
        </is>
      </c>
      <c r="M330" s="37" t="n"/>
      <c r="N330" s="37" t="n"/>
      <c r="O330" s="37" t="n"/>
      <c r="P330" s="37" t="n"/>
      <c r="Q330" s="38" t="n"/>
      <c r="R330" s="28" t="inlineStr">
        <is>
          <t>052</t>
        </is>
      </c>
      <c r="S330" s="37" t="n"/>
      <c r="T330" s="37" t="n"/>
      <c r="U330" s="37" t="n"/>
      <c r="V330" s="38" t="n"/>
      <c r="W330" s="28" t="inlineStr">
        <is>
          <t>CONJOI</t>
        </is>
      </c>
      <c r="X330" s="37" t="n"/>
      <c r="Y330" s="37" t="n"/>
      <c r="Z330" s="37" t="n"/>
      <c r="AA330" s="38" t="n"/>
      <c r="AB330" s="29" t="n">
        <v>69</v>
      </c>
      <c r="AC330" s="37" t="n"/>
      <c r="AD330" s="37" t="n"/>
      <c r="AE330" s="37" t="n"/>
      <c r="AF330" s="38" t="n"/>
      <c r="AG330" s="29" t="n">
        <v>69</v>
      </c>
      <c r="AH330" s="37" t="n"/>
      <c r="AI330" s="38" t="n"/>
    </row>
    <row r="331" ht="17.1" customHeight="1" s="36">
      <c r="L331" s="28" t="inlineStr">
        <is>
          <t>MESLAD46</t>
        </is>
      </c>
      <c r="M331" s="37" t="n"/>
      <c r="N331" s="37" t="n"/>
      <c r="O331" s="37" t="n"/>
      <c r="P331" s="37" t="n"/>
      <c r="Q331" s="38" t="n"/>
      <c r="R331" s="28" t="inlineStr">
        <is>
          <t>052</t>
        </is>
      </c>
      <c r="S331" s="37" t="n"/>
      <c r="T331" s="37" t="n"/>
      <c r="U331" s="37" t="n"/>
      <c r="V331" s="38" t="n"/>
      <c r="W331" s="28" t="inlineStr">
        <is>
          <t>ENFANT</t>
        </is>
      </c>
      <c r="X331" s="37" t="n"/>
      <c r="Y331" s="37" t="n"/>
      <c r="Z331" s="37" t="n"/>
      <c r="AA331" s="38" t="n"/>
      <c r="AB331" s="29" t="n">
        <v>181</v>
      </c>
      <c r="AC331" s="37" t="n"/>
      <c r="AD331" s="37" t="n"/>
      <c r="AE331" s="37" t="n"/>
      <c r="AF331" s="38" t="n"/>
      <c r="AG331" s="29" t="n">
        <v>181</v>
      </c>
      <c r="AH331" s="37" t="n"/>
      <c r="AI331" s="38" t="n"/>
    </row>
    <row r="332" ht="17.1" customHeight="1" s="36">
      <c r="L332" s="28" t="inlineStr">
        <is>
          <t>MESMEAE102</t>
        </is>
      </c>
      <c r="M332" s="37" t="n"/>
      <c r="N332" s="37" t="n"/>
      <c r="O332" s="37" t="n"/>
      <c r="P332" s="37" t="n"/>
      <c r="Q332" s="38" t="n"/>
      <c r="R332" s="28" t="inlineStr">
        <is>
          <t>044</t>
        </is>
      </c>
      <c r="S332" s="37" t="n"/>
      <c r="T332" s="37" t="n"/>
      <c r="U332" s="37" t="n"/>
      <c r="V332" s="38" t="n"/>
      <c r="W332" s="28" t="inlineStr">
        <is>
          <t>ASSURE</t>
        </is>
      </c>
      <c r="X332" s="37" t="n"/>
      <c r="Y332" s="37" t="n"/>
      <c r="Z332" s="37" t="n"/>
      <c r="AA332" s="38" t="n"/>
      <c r="AB332" s="29" t="n">
        <v>8511</v>
      </c>
      <c r="AC332" s="37" t="n"/>
      <c r="AD332" s="37" t="n"/>
      <c r="AE332" s="37" t="n"/>
      <c r="AF332" s="38" t="n"/>
      <c r="AG332" s="29" t="n">
        <v>9198</v>
      </c>
      <c r="AH332" s="37" t="n"/>
      <c r="AI332" s="38" t="n"/>
    </row>
    <row r="333" ht="17.1" customHeight="1" s="36">
      <c r="L333" s="28" t="inlineStr">
        <is>
          <t>MESMEAE102</t>
        </is>
      </c>
      <c r="M333" s="37" t="n"/>
      <c r="N333" s="37" t="n"/>
      <c r="O333" s="37" t="n"/>
      <c r="P333" s="37" t="n"/>
      <c r="Q333" s="38" t="n"/>
      <c r="R333" s="28" t="inlineStr">
        <is>
          <t>044</t>
        </is>
      </c>
      <c r="S333" s="37" t="n"/>
      <c r="T333" s="37" t="n"/>
      <c r="U333" s="37" t="n"/>
      <c r="V333" s="38" t="n"/>
      <c r="W333" s="28" t="inlineStr">
        <is>
          <t>CONJOI</t>
        </is>
      </c>
      <c r="X333" s="37" t="n"/>
      <c r="Y333" s="37" t="n"/>
      <c r="Z333" s="37" t="n"/>
      <c r="AA333" s="38" t="n"/>
      <c r="AB333" s="29" t="n">
        <v>2192</v>
      </c>
      <c r="AC333" s="37" t="n"/>
      <c r="AD333" s="37" t="n"/>
      <c r="AE333" s="37" t="n"/>
      <c r="AF333" s="38" t="n"/>
      <c r="AG333" s="29" t="n">
        <v>2369</v>
      </c>
      <c r="AH333" s="37" t="n"/>
      <c r="AI333" s="38" t="n"/>
    </row>
    <row r="334" ht="17.1" customHeight="1" s="36">
      <c r="L334" s="28" t="inlineStr">
        <is>
          <t>MESMEAE102</t>
        </is>
      </c>
      <c r="M334" s="37" t="n"/>
      <c r="N334" s="37" t="n"/>
      <c r="O334" s="37" t="n"/>
      <c r="P334" s="37" t="n"/>
      <c r="Q334" s="38" t="n"/>
      <c r="R334" s="28" t="inlineStr">
        <is>
          <t>044</t>
        </is>
      </c>
      <c r="S334" s="37" t="n"/>
      <c r="T334" s="37" t="n"/>
      <c r="U334" s="37" t="n"/>
      <c r="V334" s="38" t="n"/>
      <c r="W334" s="28" t="inlineStr">
        <is>
          <t>ENFANT</t>
        </is>
      </c>
      <c r="X334" s="37" t="n"/>
      <c r="Y334" s="37" t="n"/>
      <c r="Z334" s="37" t="n"/>
      <c r="AA334" s="38" t="n"/>
      <c r="AB334" s="29" t="n">
        <v>5652</v>
      </c>
      <c r="AC334" s="37" t="n"/>
      <c r="AD334" s="37" t="n"/>
      <c r="AE334" s="37" t="n"/>
      <c r="AF334" s="38" t="n"/>
      <c r="AG334" s="29" t="n">
        <v>6028</v>
      </c>
      <c r="AH334" s="37" t="n"/>
      <c r="AI334" s="38" t="n"/>
    </row>
    <row r="335" ht="17.1" customHeight="1" s="36">
      <c r="L335" s="28" t="inlineStr">
        <is>
          <t>MESMEAE202</t>
        </is>
      </c>
      <c r="M335" s="37" t="n"/>
      <c r="N335" s="37" t="n"/>
      <c r="O335" s="37" t="n"/>
      <c r="P335" s="37" t="n"/>
      <c r="Q335" s="38" t="n"/>
      <c r="R335" s="28" t="inlineStr">
        <is>
          <t>044</t>
        </is>
      </c>
      <c r="S335" s="37" t="n"/>
      <c r="T335" s="37" t="n"/>
      <c r="U335" s="37" t="n"/>
      <c r="V335" s="38" t="n"/>
      <c r="W335" s="28" t="inlineStr">
        <is>
          <t>ASSURE</t>
        </is>
      </c>
      <c r="X335" s="37" t="n"/>
      <c r="Y335" s="37" t="n"/>
      <c r="Z335" s="37" t="n"/>
      <c r="AA335" s="38" t="n"/>
      <c r="AB335" s="29" t="n">
        <v>4103</v>
      </c>
      <c r="AC335" s="37" t="n"/>
      <c r="AD335" s="37" t="n"/>
      <c r="AE335" s="37" t="n"/>
      <c r="AF335" s="38" t="n"/>
      <c r="AG335" s="29" t="n">
        <v>4288</v>
      </c>
      <c r="AH335" s="37" t="n"/>
      <c r="AI335" s="38" t="n"/>
    </row>
    <row r="336" ht="17.1" customHeight="1" s="36">
      <c r="L336" s="28" t="inlineStr">
        <is>
          <t>MESMEAE202</t>
        </is>
      </c>
      <c r="M336" s="37" t="n"/>
      <c r="N336" s="37" t="n"/>
      <c r="O336" s="37" t="n"/>
      <c r="P336" s="37" t="n"/>
      <c r="Q336" s="38" t="n"/>
      <c r="R336" s="28" t="inlineStr">
        <is>
          <t>044</t>
        </is>
      </c>
      <c r="S336" s="37" t="n"/>
      <c r="T336" s="37" t="n"/>
      <c r="U336" s="37" t="n"/>
      <c r="V336" s="38" t="n"/>
      <c r="W336" s="28" t="inlineStr">
        <is>
          <t>CONJOI</t>
        </is>
      </c>
      <c r="X336" s="37" t="n"/>
      <c r="Y336" s="37" t="n"/>
      <c r="Z336" s="37" t="n"/>
      <c r="AA336" s="38" t="n"/>
      <c r="AB336" s="29" t="n">
        <v>572</v>
      </c>
      <c r="AC336" s="37" t="n"/>
      <c r="AD336" s="37" t="n"/>
      <c r="AE336" s="37" t="n"/>
      <c r="AF336" s="38" t="n"/>
      <c r="AG336" s="29" t="n">
        <v>607</v>
      </c>
      <c r="AH336" s="37" t="n"/>
      <c r="AI336" s="38" t="n"/>
    </row>
    <row r="337" ht="17.1" customHeight="1" s="36">
      <c r="L337" s="28" t="inlineStr">
        <is>
          <t>MESMEAE202</t>
        </is>
      </c>
      <c r="M337" s="37" t="n"/>
      <c r="N337" s="37" t="n"/>
      <c r="O337" s="37" t="n"/>
      <c r="P337" s="37" t="n"/>
      <c r="Q337" s="38" t="n"/>
      <c r="R337" s="28" t="inlineStr">
        <is>
          <t>044</t>
        </is>
      </c>
      <c r="S337" s="37" t="n"/>
      <c r="T337" s="37" t="n"/>
      <c r="U337" s="37" t="n"/>
      <c r="V337" s="38" t="n"/>
      <c r="W337" s="28" t="inlineStr">
        <is>
          <t>ENFANT</t>
        </is>
      </c>
      <c r="X337" s="37" t="n"/>
      <c r="Y337" s="37" t="n"/>
      <c r="Z337" s="37" t="n"/>
      <c r="AA337" s="38" t="n"/>
      <c r="AB337" s="29" t="n">
        <v>1638</v>
      </c>
      <c r="AC337" s="37" t="n"/>
      <c r="AD337" s="37" t="n"/>
      <c r="AE337" s="37" t="n"/>
      <c r="AF337" s="38" t="n"/>
      <c r="AG337" s="29" t="n">
        <v>1706</v>
      </c>
      <c r="AH337" s="37" t="n"/>
      <c r="AI337" s="38" t="n"/>
    </row>
    <row r="338" ht="17.1" customHeight="1" s="36">
      <c r="L338" s="28" t="inlineStr">
        <is>
          <t>MESMEAE301</t>
        </is>
      </c>
      <c r="M338" s="37" t="n"/>
      <c r="N338" s="37" t="n"/>
      <c r="O338" s="37" t="n"/>
      <c r="P338" s="37" t="n"/>
      <c r="Q338" s="38" t="n"/>
      <c r="R338" s="28" t="inlineStr">
        <is>
          <t>044</t>
        </is>
      </c>
      <c r="S338" s="37" t="n"/>
      <c r="T338" s="37" t="n"/>
      <c r="U338" s="37" t="n"/>
      <c r="V338" s="38" t="n"/>
      <c r="W338" s="28" t="inlineStr">
        <is>
          <t>ASSURE</t>
        </is>
      </c>
      <c r="X338" s="37" t="n"/>
      <c r="Y338" s="37" t="n"/>
      <c r="Z338" s="37" t="n"/>
      <c r="AA338" s="38" t="n"/>
      <c r="AB338" s="29" t="n">
        <v>1</v>
      </c>
      <c r="AC338" s="37" t="n"/>
      <c r="AD338" s="37" t="n"/>
      <c r="AE338" s="37" t="n"/>
      <c r="AF338" s="38" t="n"/>
      <c r="AG338" s="29" t="n">
        <v>1</v>
      </c>
      <c r="AH338" s="37" t="n"/>
      <c r="AI338" s="38" t="n"/>
    </row>
    <row r="339" ht="17.1" customHeight="1" s="36">
      <c r="L339" s="28" t="inlineStr">
        <is>
          <t>MESMEN001</t>
        </is>
      </c>
      <c r="M339" s="37" t="n"/>
      <c r="N339" s="37" t="n"/>
      <c r="O339" s="37" t="n"/>
      <c r="P339" s="37" t="n"/>
      <c r="Q339" s="38" t="n"/>
      <c r="R339" s="28" t="inlineStr">
        <is>
          <t>010</t>
        </is>
      </c>
      <c r="S339" s="37" t="n"/>
      <c r="T339" s="37" t="n"/>
      <c r="U339" s="37" t="n"/>
      <c r="V339" s="38" t="n"/>
      <c r="W339" s="28" t="inlineStr">
        <is>
          <t>ASCEND</t>
        </is>
      </c>
      <c r="X339" s="37" t="n"/>
      <c r="Y339" s="37" t="n"/>
      <c r="Z339" s="37" t="n"/>
      <c r="AA339" s="38" t="n"/>
      <c r="AB339" s="29" t="n">
        <v>1</v>
      </c>
      <c r="AC339" s="37" t="n"/>
      <c r="AD339" s="37" t="n"/>
      <c r="AE339" s="37" t="n"/>
      <c r="AF339" s="38" t="n"/>
      <c r="AG339" s="29" t="n">
        <v>1</v>
      </c>
      <c r="AH339" s="37" t="n"/>
      <c r="AI339" s="38" t="n"/>
    </row>
    <row r="340" ht="17.1" customHeight="1" s="36">
      <c r="L340" s="28" t="inlineStr">
        <is>
          <t>MESMEN001</t>
        </is>
      </c>
      <c r="M340" s="37" t="n"/>
      <c r="N340" s="37" t="n"/>
      <c r="O340" s="37" t="n"/>
      <c r="P340" s="37" t="n"/>
      <c r="Q340" s="38" t="n"/>
      <c r="R340" s="28" t="inlineStr">
        <is>
          <t>010</t>
        </is>
      </c>
      <c r="S340" s="37" t="n"/>
      <c r="T340" s="37" t="n"/>
      <c r="U340" s="37" t="n"/>
      <c r="V340" s="38" t="n"/>
      <c r="W340" s="28" t="inlineStr">
        <is>
          <t>ASSURE</t>
        </is>
      </c>
      <c r="X340" s="37" t="n"/>
      <c r="Y340" s="37" t="n"/>
      <c r="Z340" s="37" t="n"/>
      <c r="AA340" s="38" t="n"/>
      <c r="AB340" s="29" t="n">
        <v>1212393</v>
      </c>
      <c r="AC340" s="37" t="n"/>
      <c r="AD340" s="37" t="n"/>
      <c r="AE340" s="37" t="n"/>
      <c r="AF340" s="38" t="n"/>
      <c r="AG340" s="29" t="n">
        <v>1213928</v>
      </c>
      <c r="AH340" s="37" t="n"/>
      <c r="AI340" s="38" t="n"/>
    </row>
    <row r="341" ht="17.1" customHeight="1" s="36">
      <c r="L341" s="28" t="inlineStr">
        <is>
          <t>MESMEN001</t>
        </is>
      </c>
      <c r="M341" s="37" t="n"/>
      <c r="N341" s="37" t="n"/>
      <c r="O341" s="37" t="n"/>
      <c r="P341" s="37" t="n"/>
      <c r="Q341" s="38" t="n"/>
      <c r="R341" s="28" t="inlineStr">
        <is>
          <t>010</t>
        </is>
      </c>
      <c r="S341" s="37" t="n"/>
      <c r="T341" s="37" t="n"/>
      <c r="U341" s="37" t="n"/>
      <c r="V341" s="38" t="n"/>
      <c r="W341" s="28" t="inlineStr">
        <is>
          <t>CONJOI</t>
        </is>
      </c>
      <c r="X341" s="37" t="n"/>
      <c r="Y341" s="37" t="n"/>
      <c r="Z341" s="37" t="n"/>
      <c r="AA341" s="38" t="n"/>
      <c r="AB341" s="29" t="n">
        <v>62560</v>
      </c>
      <c r="AC341" s="37" t="n"/>
      <c r="AD341" s="37" t="n"/>
      <c r="AE341" s="37" t="n"/>
      <c r="AF341" s="38" t="n"/>
      <c r="AG341" s="29" t="n">
        <v>63273</v>
      </c>
      <c r="AH341" s="37" t="n"/>
      <c r="AI341" s="38" t="n"/>
    </row>
    <row r="342" ht="17.1" customHeight="1" s="36">
      <c r="L342" s="28" t="inlineStr">
        <is>
          <t>MESMEN001</t>
        </is>
      </c>
      <c r="M342" s="37" t="n"/>
      <c r="N342" s="37" t="n"/>
      <c r="O342" s="37" t="n"/>
      <c r="P342" s="37" t="n"/>
      <c r="Q342" s="38" t="n"/>
      <c r="R342" s="28" t="inlineStr">
        <is>
          <t>010</t>
        </is>
      </c>
      <c r="S342" s="37" t="n"/>
      <c r="T342" s="37" t="n"/>
      <c r="U342" s="37" t="n"/>
      <c r="V342" s="38" t="n"/>
      <c r="W342" s="28" t="inlineStr">
        <is>
          <t>ENFANT</t>
        </is>
      </c>
      <c r="X342" s="37" t="n"/>
      <c r="Y342" s="37" t="n"/>
      <c r="Z342" s="37" t="n"/>
      <c r="AA342" s="38" t="n"/>
      <c r="AB342" s="29" t="n">
        <v>556324</v>
      </c>
      <c r="AC342" s="37" t="n"/>
      <c r="AD342" s="37" t="n"/>
      <c r="AE342" s="37" t="n"/>
      <c r="AF342" s="38" t="n"/>
      <c r="AG342" s="29" t="n">
        <v>559896</v>
      </c>
      <c r="AH342" s="37" t="n"/>
      <c r="AI342" s="38" t="n"/>
    </row>
    <row r="343" ht="17.1" customHeight="1" s="36">
      <c r="L343" s="28" t="inlineStr">
        <is>
          <t>MESMEN2003</t>
        </is>
      </c>
      <c r="M343" s="37" t="n"/>
      <c r="N343" s="37" t="n"/>
      <c r="O343" s="37" t="n"/>
      <c r="P343" s="37" t="n"/>
      <c r="Q343" s="38" t="n"/>
      <c r="R343" s="28" t="inlineStr">
        <is>
          <t>010</t>
        </is>
      </c>
      <c r="S343" s="37" t="n"/>
      <c r="T343" s="37" t="n"/>
      <c r="U343" s="37" t="n"/>
      <c r="V343" s="38" t="n"/>
      <c r="W343" s="28" t="inlineStr">
        <is>
          <t>ASSURE</t>
        </is>
      </c>
      <c r="X343" s="37" t="n"/>
      <c r="Y343" s="37" t="n"/>
      <c r="Z343" s="37" t="n"/>
      <c r="AA343" s="38" t="n"/>
      <c r="AB343" s="29" t="n">
        <v>4215</v>
      </c>
      <c r="AC343" s="37" t="n"/>
      <c r="AD343" s="37" t="n"/>
      <c r="AE343" s="37" t="n"/>
      <c r="AF343" s="38" t="n"/>
      <c r="AG343" s="29" t="n">
        <v>4215</v>
      </c>
      <c r="AH343" s="37" t="n"/>
      <c r="AI343" s="38" t="n"/>
    </row>
    <row r="344" ht="17.1" customHeight="1" s="36">
      <c r="L344" s="28" t="inlineStr">
        <is>
          <t>MESMEN2003</t>
        </is>
      </c>
      <c r="M344" s="37" t="n"/>
      <c r="N344" s="37" t="n"/>
      <c r="O344" s="37" t="n"/>
      <c r="P344" s="37" t="n"/>
      <c r="Q344" s="38" t="n"/>
      <c r="R344" s="28" t="inlineStr">
        <is>
          <t>010</t>
        </is>
      </c>
      <c r="S344" s="37" t="n"/>
      <c r="T344" s="37" t="n"/>
      <c r="U344" s="37" t="n"/>
      <c r="V344" s="38" t="n"/>
      <c r="W344" s="28" t="inlineStr">
        <is>
          <t>CONJOI</t>
        </is>
      </c>
      <c r="X344" s="37" t="n"/>
      <c r="Y344" s="37" t="n"/>
      <c r="Z344" s="37" t="n"/>
      <c r="AA344" s="38" t="n"/>
      <c r="AB344" s="29" t="n">
        <v>628</v>
      </c>
      <c r="AC344" s="37" t="n"/>
      <c r="AD344" s="37" t="n"/>
      <c r="AE344" s="37" t="n"/>
      <c r="AF344" s="38" t="n"/>
      <c r="AG344" s="29" t="n">
        <v>631</v>
      </c>
      <c r="AH344" s="37" t="n"/>
      <c r="AI344" s="38" t="n"/>
    </row>
    <row r="345" ht="17.1" customHeight="1" s="36">
      <c r="L345" s="28" t="inlineStr">
        <is>
          <t>MESMEN2003</t>
        </is>
      </c>
      <c r="M345" s="37" t="n"/>
      <c r="N345" s="37" t="n"/>
      <c r="O345" s="37" t="n"/>
      <c r="P345" s="37" t="n"/>
      <c r="Q345" s="38" t="n"/>
      <c r="R345" s="28" t="inlineStr">
        <is>
          <t>010</t>
        </is>
      </c>
      <c r="S345" s="37" t="n"/>
      <c r="T345" s="37" t="n"/>
      <c r="U345" s="37" t="n"/>
      <c r="V345" s="38" t="n"/>
      <c r="W345" s="28" t="inlineStr">
        <is>
          <t>ENFANT</t>
        </is>
      </c>
      <c r="X345" s="37" t="n"/>
      <c r="Y345" s="37" t="n"/>
      <c r="Z345" s="37" t="n"/>
      <c r="AA345" s="38" t="n"/>
      <c r="AB345" s="29" t="n">
        <v>2270</v>
      </c>
      <c r="AC345" s="37" t="n"/>
      <c r="AD345" s="37" t="n"/>
      <c r="AE345" s="37" t="n"/>
      <c r="AF345" s="38" t="n"/>
      <c r="AG345" s="29" t="n">
        <v>2277</v>
      </c>
      <c r="AH345" s="37" t="n"/>
      <c r="AI345" s="38" t="n"/>
    </row>
    <row r="346" ht="17.1" customHeight="1" s="36">
      <c r="L346" s="28" t="inlineStr">
        <is>
          <t>MESMEN3001</t>
        </is>
      </c>
      <c r="M346" s="37" t="n"/>
      <c r="N346" s="37" t="n"/>
      <c r="O346" s="37" t="n"/>
      <c r="P346" s="37" t="n"/>
      <c r="Q346" s="38" t="n"/>
      <c r="R346" s="28" t="inlineStr">
        <is>
          <t>010</t>
        </is>
      </c>
      <c r="S346" s="37" t="n"/>
      <c r="T346" s="37" t="n"/>
      <c r="U346" s="37" t="n"/>
      <c r="V346" s="38" t="n"/>
      <c r="W346" s="28" t="inlineStr">
        <is>
          <t>ASSURE</t>
        </is>
      </c>
      <c r="X346" s="37" t="n"/>
      <c r="Y346" s="37" t="n"/>
      <c r="Z346" s="37" t="n"/>
      <c r="AA346" s="38" t="n"/>
      <c r="AB346" s="29" t="n">
        <v>743</v>
      </c>
      <c r="AC346" s="37" t="n"/>
      <c r="AD346" s="37" t="n"/>
      <c r="AE346" s="37" t="n"/>
      <c r="AF346" s="38" t="n"/>
      <c r="AG346" s="29" t="n">
        <v>744</v>
      </c>
      <c r="AH346" s="37" t="n"/>
      <c r="AI346" s="38" t="n"/>
    </row>
    <row r="347" ht="17.1" customHeight="1" s="36">
      <c r="L347" s="28" t="inlineStr">
        <is>
          <t>MESMEN3001</t>
        </is>
      </c>
      <c r="M347" s="37" t="n"/>
      <c r="N347" s="37" t="n"/>
      <c r="O347" s="37" t="n"/>
      <c r="P347" s="37" t="n"/>
      <c r="Q347" s="38" t="n"/>
      <c r="R347" s="28" t="inlineStr">
        <is>
          <t>010</t>
        </is>
      </c>
      <c r="S347" s="37" t="n"/>
      <c r="T347" s="37" t="n"/>
      <c r="U347" s="37" t="n"/>
      <c r="V347" s="38" t="n"/>
      <c r="W347" s="28" t="inlineStr">
        <is>
          <t>CONJOI</t>
        </is>
      </c>
      <c r="X347" s="37" t="n"/>
      <c r="Y347" s="37" t="n"/>
      <c r="Z347" s="37" t="n"/>
      <c r="AA347" s="38" t="n"/>
      <c r="AB347" s="29" t="n">
        <v>139</v>
      </c>
      <c r="AC347" s="37" t="n"/>
      <c r="AD347" s="37" t="n"/>
      <c r="AE347" s="37" t="n"/>
      <c r="AF347" s="38" t="n"/>
      <c r="AG347" s="29" t="n">
        <v>141</v>
      </c>
      <c r="AH347" s="37" t="n"/>
      <c r="AI347" s="38" t="n"/>
    </row>
    <row r="348" ht="17.1" customHeight="1" s="36">
      <c r="L348" s="28" t="inlineStr">
        <is>
          <t>MESMEN3001</t>
        </is>
      </c>
      <c r="M348" s="37" t="n"/>
      <c r="N348" s="37" t="n"/>
      <c r="O348" s="37" t="n"/>
      <c r="P348" s="37" t="n"/>
      <c r="Q348" s="38" t="n"/>
      <c r="R348" s="28" t="inlineStr">
        <is>
          <t>010</t>
        </is>
      </c>
      <c r="S348" s="37" t="n"/>
      <c r="T348" s="37" t="n"/>
      <c r="U348" s="37" t="n"/>
      <c r="V348" s="38" t="n"/>
      <c r="W348" s="28" t="inlineStr">
        <is>
          <t>ENFANT</t>
        </is>
      </c>
      <c r="X348" s="37" t="n"/>
      <c r="Y348" s="37" t="n"/>
      <c r="Z348" s="37" t="n"/>
      <c r="AA348" s="38" t="n"/>
      <c r="AB348" s="29" t="n">
        <v>408</v>
      </c>
      <c r="AC348" s="37" t="n"/>
      <c r="AD348" s="37" t="n"/>
      <c r="AE348" s="37" t="n"/>
      <c r="AF348" s="38" t="n"/>
      <c r="AG348" s="29" t="n">
        <v>413</v>
      </c>
      <c r="AH348" s="37" t="n"/>
      <c r="AI348" s="38" t="n"/>
    </row>
    <row r="349" ht="17.1" customHeight="1" s="36">
      <c r="L349" s="28" t="inlineStr">
        <is>
          <t>MESMNTSALA</t>
        </is>
      </c>
      <c r="M349" s="37" t="n"/>
      <c r="N349" s="37" t="n"/>
      <c r="O349" s="37" t="n"/>
      <c r="P349" s="37" t="n"/>
      <c r="Q349" s="38" t="n"/>
      <c r="R349" s="28" t="inlineStr">
        <is>
          <t>052</t>
        </is>
      </c>
      <c r="S349" s="37" t="n"/>
      <c r="T349" s="37" t="n"/>
      <c r="U349" s="37" t="n"/>
      <c r="V349" s="38" t="n"/>
      <c r="W349" s="28" t="inlineStr">
        <is>
          <t>ASSURE</t>
        </is>
      </c>
      <c r="X349" s="37" t="n"/>
      <c r="Y349" s="37" t="n"/>
      <c r="Z349" s="37" t="n"/>
      <c r="AA349" s="38" t="n"/>
      <c r="AB349" s="29" t="n">
        <v>1090</v>
      </c>
      <c r="AC349" s="37" t="n"/>
      <c r="AD349" s="37" t="n"/>
      <c r="AE349" s="37" t="n"/>
      <c r="AF349" s="38" t="n"/>
      <c r="AG349" s="29" t="n">
        <v>1090</v>
      </c>
      <c r="AH349" s="37" t="n"/>
      <c r="AI349" s="38" t="n"/>
    </row>
    <row r="350" ht="17.1" customHeight="1" s="36">
      <c r="L350" s="28" t="inlineStr">
        <is>
          <t>MESMNTSALA</t>
        </is>
      </c>
      <c r="M350" s="37" t="n"/>
      <c r="N350" s="37" t="n"/>
      <c r="O350" s="37" t="n"/>
      <c r="P350" s="37" t="n"/>
      <c r="Q350" s="38" t="n"/>
      <c r="R350" s="28" t="inlineStr">
        <is>
          <t>052</t>
        </is>
      </c>
      <c r="S350" s="37" t="n"/>
      <c r="T350" s="37" t="n"/>
      <c r="U350" s="37" t="n"/>
      <c r="V350" s="38" t="n"/>
      <c r="W350" s="28" t="inlineStr">
        <is>
          <t>CONJOI</t>
        </is>
      </c>
      <c r="X350" s="37" t="n"/>
      <c r="Y350" s="37" t="n"/>
      <c r="Z350" s="37" t="n"/>
      <c r="AA350" s="38" t="n"/>
      <c r="AB350" s="29" t="n">
        <v>145</v>
      </c>
      <c r="AC350" s="37" t="n"/>
      <c r="AD350" s="37" t="n"/>
      <c r="AE350" s="37" t="n"/>
      <c r="AF350" s="38" t="n"/>
      <c r="AG350" s="29" t="n">
        <v>145</v>
      </c>
      <c r="AH350" s="37" t="n"/>
      <c r="AI350" s="38" t="n"/>
    </row>
    <row r="351" ht="17.1" customHeight="1" s="36">
      <c r="L351" s="28" t="inlineStr">
        <is>
          <t>MESMNTSALA</t>
        </is>
      </c>
      <c r="M351" s="37" t="n"/>
      <c r="N351" s="37" t="n"/>
      <c r="O351" s="37" t="n"/>
      <c r="P351" s="37" t="n"/>
      <c r="Q351" s="38" t="n"/>
      <c r="R351" s="28" t="inlineStr">
        <is>
          <t>052</t>
        </is>
      </c>
      <c r="S351" s="37" t="n"/>
      <c r="T351" s="37" t="n"/>
      <c r="U351" s="37" t="n"/>
      <c r="V351" s="38" t="n"/>
      <c r="W351" s="28" t="inlineStr">
        <is>
          <t>ENFANT</t>
        </is>
      </c>
      <c r="X351" s="37" t="n"/>
      <c r="Y351" s="37" t="n"/>
      <c r="Z351" s="37" t="n"/>
      <c r="AA351" s="38" t="n"/>
      <c r="AB351" s="29" t="n">
        <v>475</v>
      </c>
      <c r="AC351" s="37" t="n"/>
      <c r="AD351" s="37" t="n"/>
      <c r="AE351" s="37" t="n"/>
      <c r="AF351" s="38" t="n"/>
      <c r="AG351" s="29" t="n">
        <v>475</v>
      </c>
      <c r="AH351" s="37" t="n"/>
      <c r="AI351" s="38" t="n"/>
    </row>
    <row r="352" ht="17.1" customHeight="1" s="36">
      <c r="L352" s="28" t="inlineStr">
        <is>
          <t>MESMUTFR31</t>
        </is>
      </c>
      <c r="M352" s="37" t="n"/>
      <c r="N352" s="37" t="n"/>
      <c r="O352" s="37" t="n"/>
      <c r="P352" s="37" t="n"/>
      <c r="Q352" s="38" t="n"/>
      <c r="R352" s="28" t="inlineStr">
        <is>
          <t>052</t>
        </is>
      </c>
      <c r="S352" s="37" t="n"/>
      <c r="T352" s="37" t="n"/>
      <c r="U352" s="37" t="n"/>
      <c r="V352" s="38" t="n"/>
      <c r="W352" s="28" t="inlineStr">
        <is>
          <t>ASSURE</t>
        </is>
      </c>
      <c r="X352" s="37" t="n"/>
      <c r="Y352" s="37" t="n"/>
      <c r="Z352" s="37" t="n"/>
      <c r="AA352" s="38" t="n"/>
      <c r="AB352" s="29" t="n">
        <v>563</v>
      </c>
      <c r="AC352" s="37" t="n"/>
      <c r="AD352" s="37" t="n"/>
      <c r="AE352" s="37" t="n"/>
      <c r="AF352" s="38" t="n"/>
      <c r="AG352" s="29" t="n">
        <v>566</v>
      </c>
      <c r="AH352" s="37" t="n"/>
      <c r="AI352" s="38" t="n"/>
    </row>
    <row r="353" ht="17.1" customHeight="1" s="36">
      <c r="L353" s="28" t="inlineStr">
        <is>
          <t>MESMUTFR31</t>
        </is>
      </c>
      <c r="M353" s="37" t="n"/>
      <c r="N353" s="37" t="n"/>
      <c r="O353" s="37" t="n"/>
      <c r="P353" s="37" t="n"/>
      <c r="Q353" s="38" t="n"/>
      <c r="R353" s="28" t="inlineStr">
        <is>
          <t>052</t>
        </is>
      </c>
      <c r="S353" s="37" t="n"/>
      <c r="T353" s="37" t="n"/>
      <c r="U353" s="37" t="n"/>
      <c r="V353" s="38" t="n"/>
      <c r="W353" s="28" t="inlineStr">
        <is>
          <t>CONJOI</t>
        </is>
      </c>
      <c r="X353" s="37" t="n"/>
      <c r="Y353" s="37" t="n"/>
      <c r="Z353" s="37" t="n"/>
      <c r="AA353" s="38" t="n"/>
      <c r="AB353" s="29" t="n">
        <v>214</v>
      </c>
      <c r="AC353" s="37" t="n"/>
      <c r="AD353" s="37" t="n"/>
      <c r="AE353" s="37" t="n"/>
      <c r="AF353" s="38" t="n"/>
      <c r="AG353" s="29" t="n">
        <v>215</v>
      </c>
      <c r="AH353" s="37" t="n"/>
      <c r="AI353" s="38" t="n"/>
    </row>
    <row r="354" ht="17.1" customHeight="1" s="36">
      <c r="L354" s="28" t="inlineStr">
        <is>
          <t>MESMUTFR31</t>
        </is>
      </c>
      <c r="M354" s="37" t="n"/>
      <c r="N354" s="37" t="n"/>
      <c r="O354" s="37" t="n"/>
      <c r="P354" s="37" t="n"/>
      <c r="Q354" s="38" t="n"/>
      <c r="R354" s="28" t="inlineStr">
        <is>
          <t>052</t>
        </is>
      </c>
      <c r="S354" s="37" t="n"/>
      <c r="T354" s="37" t="n"/>
      <c r="U354" s="37" t="n"/>
      <c r="V354" s="38" t="n"/>
      <c r="W354" s="28" t="inlineStr">
        <is>
          <t>ENFANT</t>
        </is>
      </c>
      <c r="X354" s="37" t="n"/>
      <c r="Y354" s="37" t="n"/>
      <c r="Z354" s="37" t="n"/>
      <c r="AA354" s="38" t="n"/>
      <c r="AB354" s="29" t="n">
        <v>406</v>
      </c>
      <c r="AC354" s="37" t="n"/>
      <c r="AD354" s="37" t="n"/>
      <c r="AE354" s="37" t="n"/>
      <c r="AF354" s="38" t="n"/>
      <c r="AG354" s="29" t="n">
        <v>407</v>
      </c>
      <c r="AH354" s="37" t="n"/>
      <c r="AI354" s="38" t="n"/>
    </row>
    <row r="355" ht="17.1" customHeight="1" s="36">
      <c r="L355" s="28" t="inlineStr">
        <is>
          <t>OFFSUP</t>
        </is>
      </c>
      <c r="M355" s="37" t="n"/>
      <c r="N355" s="37" t="n"/>
      <c r="O355" s="37" t="n"/>
      <c r="P355" s="37" t="n"/>
      <c r="Q355" s="38" t="n"/>
      <c r="R355" s="28" t="inlineStr">
        <is>
          <t>052</t>
        </is>
      </c>
      <c r="S355" s="37" t="n"/>
      <c r="T355" s="37" t="n"/>
      <c r="U355" s="37" t="n"/>
      <c r="V355" s="38" t="n"/>
      <c r="W355" s="28" t="inlineStr">
        <is>
          <t>ASSURE</t>
        </is>
      </c>
      <c r="X355" s="37" t="n"/>
      <c r="Y355" s="37" t="n"/>
      <c r="Z355" s="37" t="n"/>
      <c r="AA355" s="38" t="n"/>
      <c r="AB355" s="29" t="n">
        <v>2</v>
      </c>
      <c r="AC355" s="37" t="n"/>
      <c r="AD355" s="37" t="n"/>
      <c r="AE355" s="37" t="n"/>
      <c r="AF355" s="38" t="n"/>
      <c r="AG355" s="29" t="n">
        <v>2</v>
      </c>
      <c r="AH355" s="37" t="n"/>
      <c r="AI355" s="38" t="n"/>
    </row>
    <row r="356" ht="17.1" customHeight="1" s="36">
      <c r="L356" s="28" t="inlineStr">
        <is>
          <t>STSNUANCE</t>
        </is>
      </c>
      <c r="M356" s="37" t="n"/>
      <c r="N356" s="37" t="n"/>
      <c r="O356" s="37" t="n"/>
      <c r="P356" s="37" t="n"/>
      <c r="Q356" s="38" t="n"/>
      <c r="R356" s="28" t="inlineStr">
        <is>
          <t>010</t>
        </is>
      </c>
      <c r="S356" s="37" t="n"/>
      <c r="T356" s="37" t="n"/>
      <c r="U356" s="37" t="n"/>
      <c r="V356" s="38" t="n"/>
      <c r="W356" s="28" t="inlineStr">
        <is>
          <t>ASCEND</t>
        </is>
      </c>
      <c r="X356" s="37" t="n"/>
      <c r="Y356" s="37" t="n"/>
      <c r="Z356" s="37" t="n"/>
      <c r="AA356" s="38" t="n"/>
      <c r="AB356" s="29" t="n">
        <v>1</v>
      </c>
      <c r="AC356" s="37" t="n"/>
      <c r="AD356" s="37" t="n"/>
      <c r="AE356" s="37" t="n"/>
      <c r="AF356" s="38" t="n"/>
      <c r="AG356" s="29" t="n">
        <v>1</v>
      </c>
      <c r="AH356" s="37" t="n"/>
      <c r="AI356" s="38" t="n"/>
    </row>
    <row r="357" ht="17.1" customHeight="1" s="36">
      <c r="L357" s="28" t="inlineStr">
        <is>
          <t>STSNUANCE</t>
        </is>
      </c>
      <c r="M357" s="37" t="n"/>
      <c r="N357" s="37" t="n"/>
      <c r="O357" s="37" t="n"/>
      <c r="P357" s="37" t="n"/>
      <c r="Q357" s="38" t="n"/>
      <c r="R357" s="28" t="inlineStr">
        <is>
          <t>010</t>
        </is>
      </c>
      <c r="S357" s="37" t="n"/>
      <c r="T357" s="37" t="n"/>
      <c r="U357" s="37" t="n"/>
      <c r="V357" s="38" t="n"/>
      <c r="W357" s="28" t="inlineStr">
        <is>
          <t>ASSURE</t>
        </is>
      </c>
      <c r="X357" s="37" t="n"/>
      <c r="Y357" s="37" t="n"/>
      <c r="Z357" s="37" t="n"/>
      <c r="AA357" s="38" t="n"/>
      <c r="AB357" s="29" t="n">
        <v>110</v>
      </c>
      <c r="AC357" s="37" t="n"/>
      <c r="AD357" s="37" t="n"/>
      <c r="AE357" s="37" t="n"/>
      <c r="AF357" s="38" t="n"/>
      <c r="AG357" s="29" t="n">
        <v>111</v>
      </c>
      <c r="AH357" s="37" t="n"/>
      <c r="AI357" s="38" t="n"/>
    </row>
    <row r="358" ht="17.1" customHeight="1" s="36">
      <c r="L358" s="28" t="inlineStr">
        <is>
          <t>STSNUANCE</t>
        </is>
      </c>
      <c r="M358" s="37" t="n"/>
      <c r="N358" s="37" t="n"/>
      <c r="O358" s="37" t="n"/>
      <c r="P358" s="37" t="n"/>
      <c r="Q358" s="38" t="n"/>
      <c r="R358" s="28" t="inlineStr">
        <is>
          <t>010</t>
        </is>
      </c>
      <c r="S358" s="37" t="n"/>
      <c r="T358" s="37" t="n"/>
      <c r="U358" s="37" t="n"/>
      <c r="V358" s="38" t="n"/>
      <c r="W358" s="28" t="inlineStr">
        <is>
          <t>CONJOI</t>
        </is>
      </c>
      <c r="X358" s="37" t="n"/>
      <c r="Y358" s="37" t="n"/>
      <c r="Z358" s="37" t="n"/>
      <c r="AA358" s="38" t="n"/>
      <c r="AB358" s="29" t="n">
        <v>55</v>
      </c>
      <c r="AC358" s="37" t="n"/>
      <c r="AD358" s="37" t="n"/>
      <c r="AE358" s="37" t="n"/>
      <c r="AF358" s="38" t="n"/>
      <c r="AG358" s="29" t="n">
        <v>55</v>
      </c>
      <c r="AH358" s="37" t="n"/>
      <c r="AI358" s="38" t="n"/>
    </row>
    <row r="359" ht="16.9" customHeight="1" s="36">
      <c r="L359" s="28" t="inlineStr">
        <is>
          <t>STSNUANCE</t>
        </is>
      </c>
      <c r="M359" s="37" t="n"/>
      <c r="N359" s="37" t="n"/>
      <c r="O359" s="37" t="n"/>
      <c r="P359" s="37" t="n"/>
      <c r="Q359" s="38" t="n"/>
      <c r="R359" s="28" t="inlineStr">
        <is>
          <t>010</t>
        </is>
      </c>
      <c r="S359" s="37" t="n"/>
      <c r="T359" s="37" t="n"/>
      <c r="U359" s="37" t="n"/>
      <c r="V359" s="38" t="n"/>
      <c r="W359" s="28" t="inlineStr">
        <is>
          <t>ENFANT</t>
        </is>
      </c>
      <c r="X359" s="37" t="n"/>
      <c r="Y359" s="37" t="n"/>
      <c r="Z359" s="37" t="n"/>
      <c r="AA359" s="38" t="n"/>
      <c r="AB359" s="29" t="n">
        <v>98</v>
      </c>
      <c r="AC359" s="37" t="n"/>
      <c r="AD359" s="37" t="n"/>
      <c r="AE359" s="37" t="n"/>
      <c r="AF359" s="38" t="n"/>
      <c r="AG359" s="29" t="n">
        <v>98</v>
      </c>
      <c r="AH359" s="37" t="n"/>
      <c r="AI359" s="38" t="n"/>
    </row>
    <row r="360" hidden="1" customHeight="1" s="36"/>
    <row r="361" ht="14.25" customHeight="1" s="36"/>
    <row r="362" ht="17.1" customHeight="1" s="36">
      <c r="H362" s="32" t="inlineStr">
        <is>
          <t>Export population : par tranche d'âge</t>
        </is>
      </c>
    </row>
    <row r="363" ht="7.35" customHeight="1" s="36"/>
    <row r="364" ht="14.25" customHeight="1" s="36"/>
    <row r="365" ht="17.1" customHeight="1" s="36">
      <c r="O365" s="28" t="inlineStr">
        <is>
          <t>offre</t>
        </is>
      </c>
      <c r="P365" s="37" t="n"/>
      <c r="Q365" s="38" t="n"/>
      <c r="R365" s="28" t="inlineStr">
        <is>
          <t>codsoc</t>
        </is>
      </c>
      <c r="S365" s="37" t="n"/>
      <c r="T365" s="37" t="n"/>
      <c r="U365" s="37" t="n"/>
      <c r="V365" s="38" t="n"/>
      <c r="W365" s="28" t="inlineStr">
        <is>
          <t>tranche age</t>
        </is>
      </c>
      <c r="X365" s="37" t="n"/>
      <c r="Y365" s="37" t="n"/>
      <c r="Z365" s="38" t="n"/>
      <c r="AA365" s="29" t="inlineStr">
        <is>
          <t>nb pp a date</t>
        </is>
      </c>
      <c r="AB365" s="37" t="n"/>
      <c r="AC365" s="37" t="n"/>
      <c r="AD365" s="37" t="n"/>
      <c r="AE365" s="37" t="n"/>
      <c r="AF365" s="38" t="n"/>
      <c r="AG365" s="29" t="inlineStr">
        <is>
          <t>nb pp non radie</t>
        </is>
      </c>
      <c r="AH365" s="37" t="n"/>
      <c r="AI365" s="38" t="n"/>
    </row>
    <row r="366" ht="17.1" customHeight="1" s="36">
      <c r="O366" s="28" t="inlineStr">
        <is>
          <t>INMMISPACT</t>
        </is>
      </c>
      <c r="P366" s="37" t="n"/>
      <c r="Q366" s="38" t="n"/>
      <c r="R366" s="28" t="inlineStr">
        <is>
          <t>010</t>
        </is>
      </c>
      <c r="S366" s="37" t="n"/>
      <c r="T366" s="37" t="n"/>
      <c r="U366" s="37" t="n"/>
      <c r="V366" s="38" t="n"/>
      <c r="W366" s="28" t="inlineStr">
        <is>
          <t>Moins de 20 ans</t>
        </is>
      </c>
      <c r="X366" s="37" t="n"/>
      <c r="Y366" s="37" t="n"/>
      <c r="Z366" s="38" t="n"/>
      <c r="AA366" s="29" t="n">
        <v>2263</v>
      </c>
      <c r="AB366" s="37" t="n"/>
      <c r="AC366" s="37" t="n"/>
      <c r="AD366" s="37" t="n"/>
      <c r="AE366" s="37" t="n"/>
      <c r="AF366" s="38" t="n"/>
      <c r="AG366" s="29" t="n">
        <v>2268</v>
      </c>
      <c r="AH366" s="37" t="n"/>
      <c r="AI366" s="38" t="n"/>
    </row>
    <row r="367" ht="17.1" customHeight="1" s="36">
      <c r="O367" s="28" t="inlineStr">
        <is>
          <t>INMMISPACT</t>
        </is>
      </c>
      <c r="P367" s="37" t="n"/>
      <c r="Q367" s="38" t="n"/>
      <c r="R367" s="28" t="inlineStr">
        <is>
          <t>010</t>
        </is>
      </c>
      <c r="S367" s="37" t="n"/>
      <c r="T367" s="37" t="n"/>
      <c r="U367" s="37" t="n"/>
      <c r="V367" s="38" t="n"/>
      <c r="W367" s="28" t="inlineStr">
        <is>
          <t>21 ans 40 ans</t>
        </is>
      </c>
      <c r="X367" s="37" t="n"/>
      <c r="Y367" s="37" t="n"/>
      <c r="Z367" s="38" t="n"/>
      <c r="AA367" s="29" t="n">
        <v>1320</v>
      </c>
      <c r="AB367" s="37" t="n"/>
      <c r="AC367" s="37" t="n"/>
      <c r="AD367" s="37" t="n"/>
      <c r="AE367" s="37" t="n"/>
      <c r="AF367" s="38" t="n"/>
      <c r="AG367" s="29" t="n">
        <v>1327</v>
      </c>
      <c r="AH367" s="37" t="n"/>
      <c r="AI367" s="38" t="n"/>
    </row>
    <row r="368" ht="17.1" customHeight="1" s="36">
      <c r="O368" s="28" t="inlineStr">
        <is>
          <t>INMMISPACT</t>
        </is>
      </c>
      <c r="P368" s="37" t="n"/>
      <c r="Q368" s="38" t="n"/>
      <c r="R368" s="28" t="inlineStr">
        <is>
          <t>010</t>
        </is>
      </c>
      <c r="S368" s="37" t="n"/>
      <c r="T368" s="37" t="n"/>
      <c r="U368" s="37" t="n"/>
      <c r="V368" s="38" t="n"/>
      <c r="W368" s="28" t="inlineStr">
        <is>
          <t>41 ans 60 ans</t>
        </is>
      </c>
      <c r="X368" s="37" t="n"/>
      <c r="Y368" s="37" t="n"/>
      <c r="Z368" s="38" t="n"/>
      <c r="AA368" s="29" t="n">
        <v>3110</v>
      </c>
      <c r="AB368" s="37" t="n"/>
      <c r="AC368" s="37" t="n"/>
      <c r="AD368" s="37" t="n"/>
      <c r="AE368" s="37" t="n"/>
      <c r="AF368" s="38" t="n"/>
      <c r="AG368" s="29" t="n">
        <v>3111</v>
      </c>
      <c r="AH368" s="37" t="n"/>
      <c r="AI368" s="38" t="n"/>
    </row>
    <row r="369" ht="17.1" customHeight="1" s="36">
      <c r="O369" s="28" t="inlineStr">
        <is>
          <t>INMMISPACT</t>
        </is>
      </c>
      <c r="P369" s="37" t="n"/>
      <c r="Q369" s="38" t="n"/>
      <c r="R369" s="28" t="inlineStr">
        <is>
          <t>010</t>
        </is>
      </c>
      <c r="S369" s="37" t="n"/>
      <c r="T369" s="37" t="n"/>
      <c r="U369" s="37" t="n"/>
      <c r="V369" s="38" t="n"/>
      <c r="W369" s="28" t="inlineStr">
        <is>
          <t>61 ans 80 ans</t>
        </is>
      </c>
      <c r="X369" s="37" t="n"/>
      <c r="Y369" s="37" t="n"/>
      <c r="Z369" s="38" t="n"/>
      <c r="AA369" s="29" t="n">
        <v>657</v>
      </c>
      <c r="AB369" s="37" t="n"/>
      <c r="AC369" s="37" t="n"/>
      <c r="AD369" s="37" t="n"/>
      <c r="AE369" s="37" t="n"/>
      <c r="AF369" s="38" t="n"/>
      <c r="AG369" s="29" t="n">
        <v>656</v>
      </c>
      <c r="AH369" s="37" t="n"/>
      <c r="AI369" s="38" t="n"/>
    </row>
    <row r="370" ht="17.1" customHeight="1" s="36">
      <c r="O370" s="28" t="inlineStr">
        <is>
          <t>INMMISPACT</t>
        </is>
      </c>
      <c r="P370" s="37" t="n"/>
      <c r="Q370" s="38" t="n"/>
      <c r="R370" s="28" t="inlineStr">
        <is>
          <t>010</t>
        </is>
      </c>
      <c r="S370" s="37" t="n"/>
      <c r="T370" s="37" t="n"/>
      <c r="U370" s="37" t="n"/>
      <c r="V370" s="38" t="n"/>
      <c r="W370" s="28" t="inlineStr">
        <is>
          <t>Plus de 80 ans</t>
        </is>
      </c>
      <c r="X370" s="37" t="n"/>
      <c r="Y370" s="37" t="n"/>
      <c r="Z370" s="38" t="n"/>
      <c r="AA370" s="29" t="n">
        <v>3</v>
      </c>
      <c r="AB370" s="37" t="n"/>
      <c r="AC370" s="37" t="n"/>
      <c r="AD370" s="37" t="n"/>
      <c r="AE370" s="37" t="n"/>
      <c r="AF370" s="38" t="n"/>
      <c r="AG370" s="29" t="n">
        <v>3</v>
      </c>
      <c r="AH370" s="37" t="n"/>
      <c r="AI370" s="38" t="n"/>
    </row>
    <row r="371" ht="17.1" customHeight="1" s="36">
      <c r="O371" s="28" t="inlineStr">
        <is>
          <t>INMMISPAUT</t>
        </is>
      </c>
      <c r="P371" s="37" t="n"/>
      <c r="Q371" s="38" t="n"/>
      <c r="R371" s="28" t="inlineStr">
        <is>
          <t>010</t>
        </is>
      </c>
      <c r="S371" s="37" t="n"/>
      <c r="T371" s="37" t="n"/>
      <c r="U371" s="37" t="n"/>
      <c r="V371" s="38" t="n"/>
      <c r="W371" s="28" t="inlineStr">
        <is>
          <t>Moins de 20 ans</t>
        </is>
      </c>
      <c r="X371" s="37" t="n"/>
      <c r="Y371" s="37" t="n"/>
      <c r="Z371" s="38" t="n"/>
      <c r="AA371" s="29" t="n">
        <v>423</v>
      </c>
      <c r="AB371" s="37" t="n"/>
      <c r="AC371" s="37" t="n"/>
      <c r="AD371" s="37" t="n"/>
      <c r="AE371" s="37" t="n"/>
      <c r="AF371" s="38" t="n"/>
      <c r="AG371" s="29" t="n">
        <v>425</v>
      </c>
      <c r="AH371" s="37" t="n"/>
      <c r="AI371" s="38" t="n"/>
    </row>
    <row r="372" ht="17.1" customHeight="1" s="36">
      <c r="O372" s="28" t="inlineStr">
        <is>
          <t>INMMISPAUT</t>
        </is>
      </c>
      <c r="P372" s="37" t="n"/>
      <c r="Q372" s="38" t="n"/>
      <c r="R372" s="28" t="inlineStr">
        <is>
          <t>010</t>
        </is>
      </c>
      <c r="S372" s="37" t="n"/>
      <c r="T372" s="37" t="n"/>
      <c r="U372" s="37" t="n"/>
      <c r="V372" s="38" t="n"/>
      <c r="W372" s="28" t="inlineStr">
        <is>
          <t>21 ans 40 ans</t>
        </is>
      </c>
      <c r="X372" s="37" t="n"/>
      <c r="Y372" s="37" t="n"/>
      <c r="Z372" s="38" t="n"/>
      <c r="AA372" s="29" t="n">
        <v>711</v>
      </c>
      <c r="AB372" s="37" t="n"/>
      <c r="AC372" s="37" t="n"/>
      <c r="AD372" s="37" t="n"/>
      <c r="AE372" s="37" t="n"/>
      <c r="AF372" s="38" t="n"/>
      <c r="AG372" s="29" t="n">
        <v>710</v>
      </c>
      <c r="AH372" s="37" t="n"/>
      <c r="AI372" s="38" t="n"/>
    </row>
    <row r="373" ht="17.1" customHeight="1" s="36">
      <c r="O373" s="28" t="inlineStr">
        <is>
          <t>INMMISPAUT</t>
        </is>
      </c>
      <c r="P373" s="37" t="n"/>
      <c r="Q373" s="38" t="n"/>
      <c r="R373" s="28" t="inlineStr">
        <is>
          <t>010</t>
        </is>
      </c>
      <c r="S373" s="37" t="n"/>
      <c r="T373" s="37" t="n"/>
      <c r="U373" s="37" t="n"/>
      <c r="V373" s="38" t="n"/>
      <c r="W373" s="28" t="inlineStr">
        <is>
          <t>41 ans 60 ans</t>
        </is>
      </c>
      <c r="X373" s="37" t="n"/>
      <c r="Y373" s="37" t="n"/>
      <c r="Z373" s="38" t="n"/>
      <c r="AA373" s="29" t="n">
        <v>738</v>
      </c>
      <c r="AB373" s="37" t="n"/>
      <c r="AC373" s="37" t="n"/>
      <c r="AD373" s="37" t="n"/>
      <c r="AE373" s="37" t="n"/>
      <c r="AF373" s="38" t="n"/>
      <c r="AG373" s="29" t="n">
        <v>738</v>
      </c>
      <c r="AH373" s="37" t="n"/>
      <c r="AI373" s="38" t="n"/>
    </row>
    <row r="374" ht="17.1" customHeight="1" s="36">
      <c r="O374" s="28" t="inlineStr">
        <is>
          <t>INMMISPAUT</t>
        </is>
      </c>
      <c r="P374" s="37" t="n"/>
      <c r="Q374" s="38" t="n"/>
      <c r="R374" s="28" t="inlineStr">
        <is>
          <t>010</t>
        </is>
      </c>
      <c r="S374" s="37" t="n"/>
      <c r="T374" s="37" t="n"/>
      <c r="U374" s="37" t="n"/>
      <c r="V374" s="38" t="n"/>
      <c r="W374" s="28" t="inlineStr">
        <is>
          <t>61 ans 80 ans</t>
        </is>
      </c>
      <c r="X374" s="37" t="n"/>
      <c r="Y374" s="37" t="n"/>
      <c r="Z374" s="38" t="n"/>
      <c r="AA374" s="29" t="n">
        <v>406</v>
      </c>
      <c r="AB374" s="37" t="n"/>
      <c r="AC374" s="37" t="n"/>
      <c r="AD374" s="37" t="n"/>
      <c r="AE374" s="37" t="n"/>
      <c r="AF374" s="38" t="n"/>
      <c r="AG374" s="29" t="n">
        <v>406</v>
      </c>
      <c r="AH374" s="37" t="n"/>
      <c r="AI374" s="38" t="n"/>
    </row>
    <row r="375" ht="17.1" customHeight="1" s="36">
      <c r="O375" s="28" t="inlineStr">
        <is>
          <t>INMMISPAUT</t>
        </is>
      </c>
      <c r="P375" s="37" t="n"/>
      <c r="Q375" s="38" t="n"/>
      <c r="R375" s="28" t="inlineStr">
        <is>
          <t>010</t>
        </is>
      </c>
      <c r="S375" s="37" t="n"/>
      <c r="T375" s="37" t="n"/>
      <c r="U375" s="37" t="n"/>
      <c r="V375" s="38" t="n"/>
      <c r="W375" s="28" t="inlineStr">
        <is>
          <t>Plus de 80 ans</t>
        </is>
      </c>
      <c r="X375" s="37" t="n"/>
      <c r="Y375" s="37" t="n"/>
      <c r="Z375" s="38" t="n"/>
      <c r="AA375" s="29" t="n">
        <v>141</v>
      </c>
      <c r="AB375" s="37" t="n"/>
      <c r="AC375" s="37" t="n"/>
      <c r="AD375" s="37" t="n"/>
      <c r="AE375" s="37" t="n"/>
      <c r="AF375" s="38" t="n"/>
      <c r="AG375" s="29" t="n">
        <v>141</v>
      </c>
      <c r="AH375" s="37" t="n"/>
      <c r="AI375" s="38" t="n"/>
    </row>
    <row r="376" ht="17.1" customHeight="1" s="36">
      <c r="O376" s="28" t="inlineStr">
        <is>
          <t>INMMISPRET</t>
        </is>
      </c>
      <c r="P376" s="37" t="n"/>
      <c r="Q376" s="38" t="n"/>
      <c r="R376" s="28" t="inlineStr">
        <is>
          <t>010</t>
        </is>
      </c>
      <c r="S376" s="37" t="n"/>
      <c r="T376" s="37" t="n"/>
      <c r="U376" s="37" t="n"/>
      <c r="V376" s="38" t="n"/>
      <c r="W376" s="28" t="inlineStr">
        <is>
          <t>Moins de 20 ans</t>
        </is>
      </c>
      <c r="X376" s="37" t="n"/>
      <c r="Y376" s="37" t="n"/>
      <c r="Z376" s="38" t="n"/>
      <c r="AA376" s="29" t="n">
        <v>156</v>
      </c>
      <c r="AB376" s="37" t="n"/>
      <c r="AC376" s="37" t="n"/>
      <c r="AD376" s="37" t="n"/>
      <c r="AE376" s="37" t="n"/>
      <c r="AF376" s="38" t="n"/>
      <c r="AG376" s="29" t="n">
        <v>156</v>
      </c>
      <c r="AH376" s="37" t="n"/>
      <c r="AI376" s="38" t="n"/>
    </row>
    <row r="377" ht="17.1" customHeight="1" s="36">
      <c r="O377" s="28" t="inlineStr">
        <is>
          <t>INMMISPRET</t>
        </is>
      </c>
      <c r="P377" s="37" t="n"/>
      <c r="Q377" s="38" t="n"/>
      <c r="R377" s="28" t="inlineStr">
        <is>
          <t>010</t>
        </is>
      </c>
      <c r="S377" s="37" t="n"/>
      <c r="T377" s="37" t="n"/>
      <c r="U377" s="37" t="n"/>
      <c r="V377" s="38" t="n"/>
      <c r="W377" s="28" t="inlineStr">
        <is>
          <t>21 ans 40 ans</t>
        </is>
      </c>
      <c r="X377" s="37" t="n"/>
      <c r="Y377" s="37" t="n"/>
      <c r="Z377" s="38" t="n"/>
      <c r="AA377" s="29" t="n">
        <v>260</v>
      </c>
      <c r="AB377" s="37" t="n"/>
      <c r="AC377" s="37" t="n"/>
      <c r="AD377" s="37" t="n"/>
      <c r="AE377" s="37" t="n"/>
      <c r="AF377" s="38" t="n"/>
      <c r="AG377" s="29" t="n">
        <v>260</v>
      </c>
      <c r="AH377" s="37" t="n"/>
      <c r="AI377" s="38" t="n"/>
    </row>
    <row r="378" ht="17.1" customHeight="1" s="36">
      <c r="O378" s="28" t="inlineStr">
        <is>
          <t>INMMISPRET</t>
        </is>
      </c>
      <c r="P378" s="37" t="n"/>
      <c r="Q378" s="38" t="n"/>
      <c r="R378" s="28" t="inlineStr">
        <is>
          <t>010</t>
        </is>
      </c>
      <c r="S378" s="37" t="n"/>
      <c r="T378" s="37" t="n"/>
      <c r="U378" s="37" t="n"/>
      <c r="V378" s="38" t="n"/>
      <c r="W378" s="28" t="inlineStr">
        <is>
          <t>41 ans 60 ans</t>
        </is>
      </c>
      <c r="X378" s="37" t="n"/>
      <c r="Y378" s="37" t="n"/>
      <c r="Z378" s="38" t="n"/>
      <c r="AA378" s="29" t="n">
        <v>339</v>
      </c>
      <c r="AB378" s="37" t="n"/>
      <c r="AC378" s="37" t="n"/>
      <c r="AD378" s="37" t="n"/>
      <c r="AE378" s="37" t="n"/>
      <c r="AF378" s="38" t="n"/>
      <c r="AG378" s="29" t="n">
        <v>339</v>
      </c>
      <c r="AH378" s="37" t="n"/>
      <c r="AI378" s="38" t="n"/>
    </row>
    <row r="379" ht="17.1" customHeight="1" s="36">
      <c r="O379" s="28" t="inlineStr">
        <is>
          <t>INMMISPRET</t>
        </is>
      </c>
      <c r="P379" s="37" t="n"/>
      <c r="Q379" s="38" t="n"/>
      <c r="R379" s="28" t="inlineStr">
        <is>
          <t>010</t>
        </is>
      </c>
      <c r="S379" s="37" t="n"/>
      <c r="T379" s="37" t="n"/>
      <c r="U379" s="37" t="n"/>
      <c r="V379" s="38" t="n"/>
      <c r="W379" s="28" t="inlineStr">
        <is>
          <t>61 ans 80 ans</t>
        </is>
      </c>
      <c r="X379" s="37" t="n"/>
      <c r="Y379" s="37" t="n"/>
      <c r="Z379" s="38" t="n"/>
      <c r="AA379" s="29" t="n">
        <v>5123</v>
      </c>
      <c r="AB379" s="37" t="n"/>
      <c r="AC379" s="37" t="n"/>
      <c r="AD379" s="37" t="n"/>
      <c r="AE379" s="37" t="n"/>
      <c r="AF379" s="38" t="n"/>
      <c r="AG379" s="29" t="n">
        <v>5123</v>
      </c>
      <c r="AH379" s="37" t="n"/>
      <c r="AI379" s="38" t="n"/>
    </row>
    <row r="380" ht="17.1" customHeight="1" s="36">
      <c r="O380" s="28" t="inlineStr">
        <is>
          <t>INMMISPRET</t>
        </is>
      </c>
      <c r="P380" s="37" t="n"/>
      <c r="Q380" s="38" t="n"/>
      <c r="R380" s="28" t="inlineStr">
        <is>
          <t>010</t>
        </is>
      </c>
      <c r="S380" s="37" t="n"/>
      <c r="T380" s="37" t="n"/>
      <c r="U380" s="37" t="n"/>
      <c r="V380" s="38" t="n"/>
      <c r="W380" s="28" t="inlineStr">
        <is>
          <t>Plus de 80 ans</t>
        </is>
      </c>
      <c r="X380" s="37" t="n"/>
      <c r="Y380" s="37" t="n"/>
      <c r="Z380" s="38" t="n"/>
      <c r="AA380" s="29" t="n">
        <v>1594</v>
      </c>
      <c r="AB380" s="37" t="n"/>
      <c r="AC380" s="37" t="n"/>
      <c r="AD380" s="37" t="n"/>
      <c r="AE380" s="37" t="n"/>
      <c r="AF380" s="38" t="n"/>
      <c r="AG380" s="29" t="n">
        <v>1594</v>
      </c>
      <c r="AH380" s="37" t="n"/>
      <c r="AI380" s="38" t="n"/>
    </row>
    <row r="381" ht="17.1" customHeight="1" s="36">
      <c r="O381" s="28" t="inlineStr">
        <is>
          <t>INMMSPACT1</t>
        </is>
      </c>
      <c r="P381" s="37" t="n"/>
      <c r="Q381" s="38" t="n"/>
      <c r="R381" s="28" t="inlineStr">
        <is>
          <t>010</t>
        </is>
      </c>
      <c r="S381" s="37" t="n"/>
      <c r="T381" s="37" t="n"/>
      <c r="U381" s="37" t="n"/>
      <c r="V381" s="38" t="n"/>
      <c r="W381" s="28" t="inlineStr">
        <is>
          <t>Moins de 20 ans</t>
        </is>
      </c>
      <c r="X381" s="37" t="n"/>
      <c r="Y381" s="37" t="n"/>
      <c r="Z381" s="38" t="n"/>
      <c r="AA381" s="29" t="n">
        <v>34037</v>
      </c>
      <c r="AB381" s="37" t="n"/>
      <c r="AC381" s="37" t="n"/>
      <c r="AD381" s="37" t="n"/>
      <c r="AE381" s="37" t="n"/>
      <c r="AF381" s="38" t="n"/>
      <c r="AG381" s="29" t="n">
        <v>34038</v>
      </c>
      <c r="AH381" s="37" t="n"/>
      <c r="AI381" s="38" t="n"/>
    </row>
    <row r="382" ht="17.1" customHeight="1" s="36">
      <c r="O382" s="28" t="inlineStr">
        <is>
          <t>INMMSPACT1</t>
        </is>
      </c>
      <c r="P382" s="37" t="n"/>
      <c r="Q382" s="38" t="n"/>
      <c r="R382" s="28" t="inlineStr">
        <is>
          <t>010</t>
        </is>
      </c>
      <c r="S382" s="37" t="n"/>
      <c r="T382" s="37" t="n"/>
      <c r="U382" s="37" t="n"/>
      <c r="V382" s="38" t="n"/>
      <c r="W382" s="28" t="inlineStr">
        <is>
          <t>21 ans 40 ans</t>
        </is>
      </c>
      <c r="X382" s="37" t="n"/>
      <c r="Y382" s="37" t="n"/>
      <c r="Z382" s="38" t="n"/>
      <c r="AA382" s="29" t="n">
        <v>45408</v>
      </c>
      <c r="AB382" s="37" t="n"/>
      <c r="AC382" s="37" t="n"/>
      <c r="AD382" s="37" t="n"/>
      <c r="AE382" s="37" t="n"/>
      <c r="AF382" s="38" t="n"/>
      <c r="AG382" s="29" t="n">
        <v>45411</v>
      </c>
      <c r="AH382" s="37" t="n"/>
      <c r="AI382" s="38" t="n"/>
    </row>
    <row r="383" ht="17.1" customHeight="1" s="36">
      <c r="O383" s="28" t="inlineStr">
        <is>
          <t>INMMSPACT1</t>
        </is>
      </c>
      <c r="P383" s="37" t="n"/>
      <c r="Q383" s="38" t="n"/>
      <c r="R383" s="28" t="inlineStr">
        <is>
          <t>010</t>
        </is>
      </c>
      <c r="S383" s="37" t="n"/>
      <c r="T383" s="37" t="n"/>
      <c r="U383" s="37" t="n"/>
      <c r="V383" s="38" t="n"/>
      <c r="W383" s="28" t="inlineStr">
        <is>
          <t>41 ans 60 ans</t>
        </is>
      </c>
      <c r="X383" s="37" t="n"/>
      <c r="Y383" s="37" t="n"/>
      <c r="Z383" s="38" t="n"/>
      <c r="AA383" s="29" t="n">
        <v>58757</v>
      </c>
      <c r="AB383" s="37" t="n"/>
      <c r="AC383" s="37" t="n"/>
      <c r="AD383" s="37" t="n"/>
      <c r="AE383" s="37" t="n"/>
      <c r="AF383" s="38" t="n"/>
      <c r="AG383" s="29" t="n">
        <v>58758</v>
      </c>
      <c r="AH383" s="37" t="n"/>
      <c r="AI383" s="38" t="n"/>
    </row>
    <row r="384" ht="17.1" customHeight="1" s="36">
      <c r="O384" s="28" t="inlineStr">
        <is>
          <t>INMMSPACT1</t>
        </is>
      </c>
      <c r="P384" s="37" t="n"/>
      <c r="Q384" s="38" t="n"/>
      <c r="R384" s="28" t="inlineStr">
        <is>
          <t>010</t>
        </is>
      </c>
      <c r="S384" s="37" t="n"/>
      <c r="T384" s="37" t="n"/>
      <c r="U384" s="37" t="n"/>
      <c r="V384" s="38" t="n"/>
      <c r="W384" s="28" t="inlineStr">
        <is>
          <t>61 ans 80 ans</t>
        </is>
      </c>
      <c r="X384" s="37" t="n"/>
      <c r="Y384" s="37" t="n"/>
      <c r="Z384" s="38" t="n"/>
      <c r="AA384" s="29" t="n">
        <v>57945</v>
      </c>
      <c r="AB384" s="37" t="n"/>
      <c r="AC384" s="37" t="n"/>
      <c r="AD384" s="37" t="n"/>
      <c r="AE384" s="37" t="n"/>
      <c r="AF384" s="38" t="n"/>
      <c r="AG384" s="29" t="n">
        <v>57946</v>
      </c>
      <c r="AH384" s="37" t="n"/>
      <c r="AI384" s="38" t="n"/>
    </row>
    <row r="385" ht="17.1" customHeight="1" s="36">
      <c r="O385" s="28" t="inlineStr">
        <is>
          <t>INMMSPACT1</t>
        </is>
      </c>
      <c r="P385" s="37" t="n"/>
      <c r="Q385" s="38" t="n"/>
      <c r="R385" s="28" t="inlineStr">
        <is>
          <t>010</t>
        </is>
      </c>
      <c r="S385" s="37" t="n"/>
      <c r="T385" s="37" t="n"/>
      <c r="U385" s="37" t="n"/>
      <c r="V385" s="38" t="n"/>
      <c r="W385" s="28" t="inlineStr">
        <is>
          <t>Plus de 80 ans</t>
        </is>
      </c>
      <c r="X385" s="37" t="n"/>
      <c r="Y385" s="37" t="n"/>
      <c r="Z385" s="38" t="n"/>
      <c r="AA385" s="29" t="n">
        <v>27273</v>
      </c>
      <c r="AB385" s="37" t="n"/>
      <c r="AC385" s="37" t="n"/>
      <c r="AD385" s="37" t="n"/>
      <c r="AE385" s="37" t="n"/>
      <c r="AF385" s="38" t="n"/>
      <c r="AG385" s="29" t="n">
        <v>27273</v>
      </c>
      <c r="AH385" s="37" t="n"/>
      <c r="AI385" s="38" t="n"/>
    </row>
    <row r="386" ht="17.1" customHeight="1" s="36">
      <c r="O386" s="28" t="inlineStr">
        <is>
          <t>INMMSPOJI1</t>
        </is>
      </c>
      <c r="P386" s="37" t="n"/>
      <c r="Q386" s="38" t="n"/>
      <c r="R386" s="28" t="inlineStr">
        <is>
          <t>010</t>
        </is>
      </c>
      <c r="S386" s="37" t="n"/>
      <c r="T386" s="37" t="n"/>
      <c r="U386" s="37" t="n"/>
      <c r="V386" s="38" t="n"/>
      <c r="W386" s="28" t="inlineStr">
        <is>
          <t>Moins de 20 ans</t>
        </is>
      </c>
      <c r="X386" s="37" t="n"/>
      <c r="Y386" s="37" t="n"/>
      <c r="Z386" s="38" t="n"/>
      <c r="AA386" s="29" t="n">
        <v>5098</v>
      </c>
      <c r="AB386" s="37" t="n"/>
      <c r="AC386" s="37" t="n"/>
      <c r="AD386" s="37" t="n"/>
      <c r="AE386" s="37" t="n"/>
      <c r="AF386" s="38" t="n"/>
      <c r="AG386" s="29" t="n">
        <v>5105</v>
      </c>
      <c r="AH386" s="37" t="n"/>
      <c r="AI386" s="38" t="n"/>
    </row>
    <row r="387" ht="17.1" customHeight="1" s="36">
      <c r="O387" s="28" t="inlineStr">
        <is>
          <t>INMMSPOJI1</t>
        </is>
      </c>
      <c r="P387" s="37" t="n"/>
      <c r="Q387" s="38" t="n"/>
      <c r="R387" s="28" t="inlineStr">
        <is>
          <t>010</t>
        </is>
      </c>
      <c r="S387" s="37" t="n"/>
      <c r="T387" s="37" t="n"/>
      <c r="U387" s="37" t="n"/>
      <c r="V387" s="38" t="n"/>
      <c r="W387" s="28" t="inlineStr">
        <is>
          <t>21 ans 40 ans</t>
        </is>
      </c>
      <c r="X387" s="37" t="n"/>
      <c r="Y387" s="37" t="n"/>
      <c r="Z387" s="38" t="n"/>
      <c r="AA387" s="29" t="n">
        <v>27307</v>
      </c>
      <c r="AB387" s="37" t="n"/>
      <c r="AC387" s="37" t="n"/>
      <c r="AD387" s="37" t="n"/>
      <c r="AE387" s="37" t="n"/>
      <c r="AF387" s="38" t="n"/>
      <c r="AG387" s="29" t="n">
        <v>27318</v>
      </c>
      <c r="AH387" s="37" t="n"/>
      <c r="AI387" s="38" t="n"/>
    </row>
    <row r="388" ht="17.1" customHeight="1" s="36">
      <c r="O388" s="28" t="inlineStr">
        <is>
          <t>INMMSPOJI1</t>
        </is>
      </c>
      <c r="P388" s="37" t="n"/>
      <c r="Q388" s="38" t="n"/>
      <c r="R388" s="28" t="inlineStr">
        <is>
          <t>010</t>
        </is>
      </c>
      <c r="S388" s="37" t="n"/>
      <c r="T388" s="37" t="n"/>
      <c r="U388" s="37" t="n"/>
      <c r="V388" s="38" t="n"/>
      <c r="W388" s="28" t="inlineStr">
        <is>
          <t>41 ans 60 ans</t>
        </is>
      </c>
      <c r="X388" s="37" t="n"/>
      <c r="Y388" s="37" t="n"/>
      <c r="Z388" s="38" t="n"/>
      <c r="AA388" s="29" t="n">
        <v>8</v>
      </c>
      <c r="AB388" s="37" t="n"/>
      <c r="AC388" s="37" t="n"/>
      <c r="AD388" s="37" t="n"/>
      <c r="AE388" s="37" t="n"/>
      <c r="AF388" s="38" t="n"/>
      <c r="AG388" s="29" t="n">
        <v>8</v>
      </c>
      <c r="AH388" s="37" t="n"/>
      <c r="AI388" s="38" t="n"/>
    </row>
    <row r="389" ht="17.1" customHeight="1" s="36">
      <c r="O389" s="28" t="inlineStr">
        <is>
          <t>INMMSPOJI1</t>
        </is>
      </c>
      <c r="P389" s="37" t="n"/>
      <c r="Q389" s="38" t="n"/>
      <c r="R389" s="28" t="inlineStr">
        <is>
          <t>010</t>
        </is>
      </c>
      <c r="S389" s="37" t="n"/>
      <c r="T389" s="37" t="n"/>
      <c r="U389" s="37" t="n"/>
      <c r="V389" s="38" t="n"/>
      <c r="W389" s="28" t="inlineStr">
        <is>
          <t>61 ans 80 ans</t>
        </is>
      </c>
      <c r="X389" s="37" t="n"/>
      <c r="Y389" s="37" t="n"/>
      <c r="Z389" s="38" t="n"/>
      <c r="AA389" s="29" t="n">
        <v>1</v>
      </c>
      <c r="AB389" s="37" t="n"/>
      <c r="AC389" s="37" t="n"/>
      <c r="AD389" s="37" t="n"/>
      <c r="AE389" s="37" t="n"/>
      <c r="AF389" s="38" t="n"/>
      <c r="AG389" s="29" t="n">
        <v>1</v>
      </c>
      <c r="AH389" s="37" t="n"/>
      <c r="AI389" s="38" t="n"/>
    </row>
    <row r="390" ht="17.1" customHeight="1" s="36">
      <c r="O390" s="28" t="inlineStr">
        <is>
          <t>INMMSPRET1</t>
        </is>
      </c>
      <c r="P390" s="37" t="n"/>
      <c r="Q390" s="38" t="n"/>
      <c r="R390" s="28" t="inlineStr">
        <is>
          <t>010</t>
        </is>
      </c>
      <c r="S390" s="37" t="n"/>
      <c r="T390" s="37" t="n"/>
      <c r="U390" s="37" t="n"/>
      <c r="V390" s="38" t="n"/>
      <c r="W390" s="28" t="inlineStr">
        <is>
          <t>Moins de 20 ans</t>
        </is>
      </c>
      <c r="X390" s="37" t="n"/>
      <c r="Y390" s="37" t="n"/>
      <c r="Z390" s="38" t="n"/>
      <c r="AA390" s="29" t="n">
        <v>4784</v>
      </c>
      <c r="AB390" s="37" t="n"/>
      <c r="AC390" s="37" t="n"/>
      <c r="AD390" s="37" t="n"/>
      <c r="AE390" s="37" t="n"/>
      <c r="AF390" s="38" t="n"/>
      <c r="AG390" s="29" t="n">
        <v>4785</v>
      </c>
      <c r="AH390" s="37" t="n"/>
      <c r="AI390" s="38" t="n"/>
    </row>
    <row r="391" ht="17.1" customHeight="1" s="36">
      <c r="O391" s="28" t="inlineStr">
        <is>
          <t>INMMSPRET1</t>
        </is>
      </c>
      <c r="P391" s="37" t="n"/>
      <c r="Q391" s="38" t="n"/>
      <c r="R391" s="28" t="inlineStr">
        <is>
          <t>010</t>
        </is>
      </c>
      <c r="S391" s="37" t="n"/>
      <c r="T391" s="37" t="n"/>
      <c r="U391" s="37" t="n"/>
      <c r="V391" s="38" t="n"/>
      <c r="W391" s="28" t="inlineStr">
        <is>
          <t>21 ans 40 ans</t>
        </is>
      </c>
      <c r="X391" s="37" t="n"/>
      <c r="Y391" s="37" t="n"/>
      <c r="Z391" s="38" t="n"/>
      <c r="AA391" s="29" t="n">
        <v>14042</v>
      </c>
      <c r="AB391" s="37" t="n"/>
      <c r="AC391" s="37" t="n"/>
      <c r="AD391" s="37" t="n"/>
      <c r="AE391" s="37" t="n"/>
      <c r="AF391" s="38" t="n"/>
      <c r="AG391" s="29" t="n">
        <v>14042</v>
      </c>
      <c r="AH391" s="37" t="n"/>
      <c r="AI391" s="38" t="n"/>
    </row>
    <row r="392" ht="17.1" customHeight="1" s="36">
      <c r="O392" s="28" t="inlineStr">
        <is>
          <t>INMMSPRET1</t>
        </is>
      </c>
      <c r="P392" s="37" t="n"/>
      <c r="Q392" s="38" t="n"/>
      <c r="R392" s="28" t="inlineStr">
        <is>
          <t>010</t>
        </is>
      </c>
      <c r="S392" s="37" t="n"/>
      <c r="T392" s="37" t="n"/>
      <c r="U392" s="37" t="n"/>
      <c r="V392" s="38" t="n"/>
      <c r="W392" s="28" t="inlineStr">
        <is>
          <t>41 ans 60 ans</t>
        </is>
      </c>
      <c r="X392" s="37" t="n"/>
      <c r="Y392" s="37" t="n"/>
      <c r="Z392" s="38" t="n"/>
      <c r="AA392" s="29" t="n">
        <v>15503</v>
      </c>
      <c r="AB392" s="37" t="n"/>
      <c r="AC392" s="37" t="n"/>
      <c r="AD392" s="37" t="n"/>
      <c r="AE392" s="37" t="n"/>
      <c r="AF392" s="38" t="n"/>
      <c r="AG392" s="29" t="n">
        <v>15507</v>
      </c>
      <c r="AH392" s="37" t="n"/>
      <c r="AI392" s="38" t="n"/>
    </row>
    <row r="393" ht="17.1" customHeight="1" s="36">
      <c r="O393" s="28" t="inlineStr">
        <is>
          <t>INMMSPRET1</t>
        </is>
      </c>
      <c r="P393" s="37" t="n"/>
      <c r="Q393" s="38" t="n"/>
      <c r="R393" s="28" t="inlineStr">
        <is>
          <t>010</t>
        </is>
      </c>
      <c r="S393" s="37" t="n"/>
      <c r="T393" s="37" t="n"/>
      <c r="U393" s="37" t="n"/>
      <c r="V393" s="38" t="n"/>
      <c r="W393" s="28" t="inlineStr">
        <is>
          <t>61 ans 80 ans</t>
        </is>
      </c>
      <c r="X393" s="37" t="n"/>
      <c r="Y393" s="37" t="n"/>
      <c r="Z393" s="38" t="n"/>
      <c r="AA393" s="29" t="n">
        <v>628345</v>
      </c>
      <c r="AB393" s="37" t="n"/>
      <c r="AC393" s="37" t="n"/>
      <c r="AD393" s="37" t="n"/>
      <c r="AE393" s="37" t="n"/>
      <c r="AF393" s="38" t="n"/>
      <c r="AG393" s="29" t="n">
        <v>628360</v>
      </c>
      <c r="AH393" s="37" t="n"/>
      <c r="AI393" s="38" t="n"/>
    </row>
    <row r="394" ht="17.1" customHeight="1" s="36">
      <c r="O394" s="28" t="inlineStr">
        <is>
          <t>INMMSPRET1</t>
        </is>
      </c>
      <c r="P394" s="37" t="n"/>
      <c r="Q394" s="38" t="n"/>
      <c r="R394" s="28" t="inlineStr">
        <is>
          <t>010</t>
        </is>
      </c>
      <c r="S394" s="37" t="n"/>
      <c r="T394" s="37" t="n"/>
      <c r="U394" s="37" t="n"/>
      <c r="V394" s="38" t="n"/>
      <c r="W394" s="28" t="inlineStr">
        <is>
          <t>Plus de 80 ans</t>
        </is>
      </c>
      <c r="X394" s="37" t="n"/>
      <c r="Y394" s="37" t="n"/>
      <c r="Z394" s="38" t="n"/>
      <c r="AA394" s="29" t="n">
        <v>268065</v>
      </c>
      <c r="AB394" s="37" t="n"/>
      <c r="AC394" s="37" t="n"/>
      <c r="AD394" s="37" t="n"/>
      <c r="AE394" s="37" t="n"/>
      <c r="AF394" s="38" t="n"/>
      <c r="AG394" s="29" t="n">
        <v>268066</v>
      </c>
      <c r="AH394" s="37" t="n"/>
      <c r="AI394" s="38" t="n"/>
    </row>
    <row r="395" ht="17.1" customHeight="1" s="36">
      <c r="O395" s="28" t="inlineStr">
        <is>
          <t>INPCULT002</t>
        </is>
      </c>
      <c r="P395" s="37" t="n"/>
      <c r="Q395" s="38" t="n"/>
      <c r="R395" s="28" t="inlineStr">
        <is>
          <t>010</t>
        </is>
      </c>
      <c r="S395" s="37" t="n"/>
      <c r="T395" s="37" t="n"/>
      <c r="U395" s="37" t="n"/>
      <c r="V395" s="38" t="n"/>
      <c r="W395" s="28" t="inlineStr">
        <is>
          <t>41 ans 60 ans</t>
        </is>
      </c>
      <c r="X395" s="37" t="n"/>
      <c r="Y395" s="37" t="n"/>
      <c r="Z395" s="38" t="n"/>
      <c r="AA395" s="29" t="n">
        <v>3</v>
      </c>
      <c r="AB395" s="37" t="n"/>
      <c r="AC395" s="37" t="n"/>
      <c r="AD395" s="37" t="n"/>
      <c r="AE395" s="37" t="n"/>
      <c r="AF395" s="38" t="n"/>
      <c r="AG395" s="29" t="n">
        <v>3</v>
      </c>
      <c r="AH395" s="37" t="n"/>
      <c r="AI395" s="38" t="n"/>
    </row>
    <row r="396" ht="17.1" customHeight="1" s="36">
      <c r="O396" s="28" t="inlineStr">
        <is>
          <t>INPCULT002</t>
        </is>
      </c>
      <c r="P396" s="37" t="n"/>
      <c r="Q396" s="38" t="n"/>
      <c r="R396" s="28" t="inlineStr">
        <is>
          <t>010</t>
        </is>
      </c>
      <c r="S396" s="37" t="n"/>
      <c r="T396" s="37" t="n"/>
      <c r="U396" s="37" t="n"/>
      <c r="V396" s="38" t="n"/>
      <c r="W396" s="28" t="inlineStr">
        <is>
          <t>61 ans 80 ans</t>
        </is>
      </c>
      <c r="X396" s="37" t="n"/>
      <c r="Y396" s="37" t="n"/>
      <c r="Z396" s="38" t="n"/>
      <c r="AA396" s="29" t="n">
        <v>7</v>
      </c>
      <c r="AB396" s="37" t="n"/>
      <c r="AC396" s="37" t="n"/>
      <c r="AD396" s="37" t="n"/>
      <c r="AE396" s="37" t="n"/>
      <c r="AF396" s="38" t="n"/>
      <c r="AG396" s="29" t="n">
        <v>7</v>
      </c>
      <c r="AH396" s="37" t="n"/>
      <c r="AI396" s="38" t="n"/>
    </row>
    <row r="397" ht="17.1" customHeight="1" s="36">
      <c r="O397" s="28" t="inlineStr">
        <is>
          <t>INPMAS001</t>
        </is>
      </c>
      <c r="P397" s="37" t="n"/>
      <c r="Q397" s="38" t="n"/>
      <c r="R397" s="28" t="inlineStr">
        <is>
          <t>073</t>
        </is>
      </c>
      <c r="S397" s="37" t="n"/>
      <c r="T397" s="37" t="n"/>
      <c r="U397" s="37" t="n"/>
      <c r="V397" s="38" t="n"/>
      <c r="W397" s="28" t="inlineStr">
        <is>
          <t>61 ans 80 ans</t>
        </is>
      </c>
      <c r="X397" s="37" t="n"/>
      <c r="Y397" s="37" t="n"/>
      <c r="Z397" s="38" t="n"/>
      <c r="AA397" s="29" t="n">
        <v>2</v>
      </c>
      <c r="AB397" s="37" t="n"/>
      <c r="AC397" s="37" t="n"/>
      <c r="AD397" s="37" t="n"/>
      <c r="AE397" s="37" t="n"/>
      <c r="AF397" s="38" t="n"/>
      <c r="AG397" s="29" t="n">
        <v>2</v>
      </c>
      <c r="AH397" s="37" t="n"/>
      <c r="AI397" s="38" t="n"/>
    </row>
    <row r="398" ht="17.1" customHeight="1" s="36">
      <c r="O398" s="28" t="inlineStr">
        <is>
          <t>INPPREVIND</t>
        </is>
      </c>
      <c r="P398" s="37" t="n"/>
      <c r="Q398" s="38" t="n"/>
      <c r="R398" s="28" t="inlineStr">
        <is>
          <t>010</t>
        </is>
      </c>
      <c r="S398" s="37" t="n"/>
      <c r="T398" s="37" t="n"/>
      <c r="U398" s="37" t="n"/>
      <c r="V398" s="38" t="n"/>
      <c r="W398" s="28" t="inlineStr">
        <is>
          <t>Moins de 20 ans</t>
        </is>
      </c>
      <c r="X398" s="37" t="n"/>
      <c r="Y398" s="37" t="n"/>
      <c r="Z398" s="38" t="n"/>
      <c r="AA398" s="29" t="n">
        <v>255</v>
      </c>
      <c r="AB398" s="37" t="n"/>
      <c r="AC398" s="37" t="n"/>
      <c r="AD398" s="37" t="n"/>
      <c r="AE398" s="37" t="n"/>
      <c r="AF398" s="38" t="n"/>
      <c r="AG398" s="29" t="n">
        <v>264</v>
      </c>
      <c r="AH398" s="37" t="n"/>
      <c r="AI398" s="38" t="n"/>
    </row>
    <row r="399" ht="17.1" customHeight="1" s="36">
      <c r="O399" s="28" t="inlineStr">
        <is>
          <t>INPPREVIND</t>
        </is>
      </c>
      <c r="P399" s="37" t="n"/>
      <c r="Q399" s="38" t="n"/>
      <c r="R399" s="28" t="inlineStr">
        <is>
          <t>010</t>
        </is>
      </c>
      <c r="S399" s="37" t="n"/>
      <c r="T399" s="37" t="n"/>
      <c r="U399" s="37" t="n"/>
      <c r="V399" s="38" t="n"/>
      <c r="W399" s="28" t="inlineStr">
        <is>
          <t>21 ans 40 ans</t>
        </is>
      </c>
      <c r="X399" s="37" t="n"/>
      <c r="Y399" s="37" t="n"/>
      <c r="Z399" s="38" t="n"/>
      <c r="AA399" s="29" t="n">
        <v>180876</v>
      </c>
      <c r="AB399" s="37" t="n"/>
      <c r="AC399" s="37" t="n"/>
      <c r="AD399" s="37" t="n"/>
      <c r="AE399" s="37" t="n"/>
      <c r="AF399" s="38" t="n"/>
      <c r="AG399" s="29" t="n">
        <v>181642</v>
      </c>
      <c r="AH399" s="37" t="n"/>
      <c r="AI399" s="38" t="n"/>
    </row>
    <row r="400" ht="17.1" customHeight="1" s="36">
      <c r="O400" s="28" t="inlineStr">
        <is>
          <t>INPPREVIND</t>
        </is>
      </c>
      <c r="P400" s="37" t="n"/>
      <c r="Q400" s="38" t="n"/>
      <c r="R400" s="28" t="inlineStr">
        <is>
          <t>010</t>
        </is>
      </c>
      <c r="S400" s="37" t="n"/>
      <c r="T400" s="37" t="n"/>
      <c r="U400" s="37" t="n"/>
      <c r="V400" s="38" t="n"/>
      <c r="W400" s="28" t="inlineStr">
        <is>
          <t>41 ans 60 ans</t>
        </is>
      </c>
      <c r="X400" s="37" t="n"/>
      <c r="Y400" s="37" t="n"/>
      <c r="Z400" s="38" t="n"/>
      <c r="AA400" s="29" t="n">
        <v>431553</v>
      </c>
      <c r="AB400" s="37" t="n"/>
      <c r="AC400" s="37" t="n"/>
      <c r="AD400" s="37" t="n"/>
      <c r="AE400" s="37" t="n"/>
      <c r="AF400" s="38" t="n"/>
      <c r="AG400" s="29" t="n">
        <v>431742</v>
      </c>
      <c r="AH400" s="37" t="n"/>
      <c r="AI400" s="38" t="n"/>
    </row>
    <row r="401" ht="17.1" customHeight="1" s="36">
      <c r="O401" s="28" t="inlineStr">
        <is>
          <t>INPPREVIND</t>
        </is>
      </c>
      <c r="P401" s="37" t="n"/>
      <c r="Q401" s="38" t="n"/>
      <c r="R401" s="28" t="inlineStr">
        <is>
          <t>010</t>
        </is>
      </c>
      <c r="S401" s="37" t="n"/>
      <c r="T401" s="37" t="n"/>
      <c r="U401" s="37" t="n"/>
      <c r="V401" s="38" t="n"/>
      <c r="W401" s="28" t="inlineStr">
        <is>
          <t>61 ans 80 ans</t>
        </is>
      </c>
      <c r="X401" s="37" t="n"/>
      <c r="Y401" s="37" t="n"/>
      <c r="Z401" s="38" t="n"/>
      <c r="AA401" s="29" t="n">
        <v>78190</v>
      </c>
      <c r="AB401" s="37" t="n"/>
      <c r="AC401" s="37" t="n"/>
      <c r="AD401" s="37" t="n"/>
      <c r="AE401" s="37" t="n"/>
      <c r="AF401" s="38" t="n"/>
      <c r="AG401" s="29" t="n">
        <v>78192</v>
      </c>
      <c r="AH401" s="37" t="n"/>
      <c r="AI401" s="38" t="n"/>
    </row>
    <row r="402" ht="17.1" customHeight="1" s="36">
      <c r="O402" s="28" t="inlineStr">
        <is>
          <t>INPPREVIND</t>
        </is>
      </c>
      <c r="P402" s="37" t="n"/>
      <c r="Q402" s="38" t="n"/>
      <c r="R402" s="28" t="inlineStr">
        <is>
          <t>010</t>
        </is>
      </c>
      <c r="S402" s="37" t="n"/>
      <c r="T402" s="37" t="n"/>
      <c r="U402" s="37" t="n"/>
      <c r="V402" s="38" t="n"/>
      <c r="W402" s="28" t="inlineStr">
        <is>
          <t>Plus de 80 ans</t>
        </is>
      </c>
      <c r="X402" s="37" t="n"/>
      <c r="Y402" s="37" t="n"/>
      <c r="Z402" s="38" t="n"/>
      <c r="AA402" s="29" t="n">
        <v>2</v>
      </c>
      <c r="AB402" s="37" t="n"/>
      <c r="AC402" s="37" t="n"/>
      <c r="AD402" s="37" t="n"/>
      <c r="AE402" s="37" t="n"/>
      <c r="AF402" s="38" t="n"/>
      <c r="AG402" s="29" t="n">
        <v>2</v>
      </c>
      <c r="AH402" s="37" t="n"/>
      <c r="AI402" s="38" t="n"/>
    </row>
    <row r="403" ht="17.1" customHeight="1" s="36">
      <c r="O403" s="28" t="inlineStr">
        <is>
          <t>INPPREVIND</t>
        </is>
      </c>
      <c r="P403" s="37" t="n"/>
      <c r="Q403" s="38" t="n"/>
      <c r="R403" s="28" t="inlineStr">
        <is>
          <t>010</t>
        </is>
      </c>
      <c r="S403" s="37" t="n"/>
      <c r="T403" s="37" t="n"/>
      <c r="U403" s="37" t="n"/>
      <c r="V403" s="38" t="n"/>
      <c r="W403" s="28" t="n"/>
      <c r="X403" s="37" t="n"/>
      <c r="Y403" s="37" t="n"/>
      <c r="Z403" s="38" t="n"/>
      <c r="AA403" s="29" t="n"/>
      <c r="AB403" s="37" t="n"/>
      <c r="AC403" s="37" t="n"/>
      <c r="AD403" s="37" t="n"/>
      <c r="AE403" s="37" t="n"/>
      <c r="AF403" s="38" t="n"/>
      <c r="AG403" s="29" t="n">
        <v>50</v>
      </c>
      <c r="AH403" s="37" t="n"/>
      <c r="AI403" s="38" t="n"/>
    </row>
    <row r="404" ht="17.1" customHeight="1" s="36">
      <c r="O404" s="28" t="inlineStr">
        <is>
          <t>INSC2SG</t>
        </is>
      </c>
      <c r="P404" s="37" t="n"/>
      <c r="Q404" s="38" t="n"/>
      <c r="R404" s="28" t="inlineStr">
        <is>
          <t>010</t>
        </is>
      </c>
      <c r="S404" s="37" t="n"/>
      <c r="T404" s="37" t="n"/>
      <c r="U404" s="37" t="n"/>
      <c r="V404" s="38" t="n"/>
      <c r="W404" s="28" t="inlineStr">
        <is>
          <t>Moins de 20 ans</t>
        </is>
      </c>
      <c r="X404" s="37" t="n"/>
      <c r="Y404" s="37" t="n"/>
      <c r="Z404" s="38" t="n"/>
      <c r="AA404" s="29" t="n">
        <v>7045</v>
      </c>
      <c r="AB404" s="37" t="n"/>
      <c r="AC404" s="37" t="n"/>
      <c r="AD404" s="37" t="n"/>
      <c r="AE404" s="37" t="n"/>
      <c r="AF404" s="38" t="n"/>
      <c r="AG404" s="29" t="n">
        <v>7237</v>
      </c>
      <c r="AH404" s="37" t="n"/>
      <c r="AI404" s="38" t="n"/>
    </row>
    <row r="405" ht="17.1" customHeight="1" s="36">
      <c r="O405" s="28" t="inlineStr">
        <is>
          <t>INSC2SG</t>
        </is>
      </c>
      <c r="P405" s="37" t="n"/>
      <c r="Q405" s="38" t="n"/>
      <c r="R405" s="28" t="inlineStr">
        <is>
          <t>010</t>
        </is>
      </c>
      <c r="S405" s="37" t="n"/>
      <c r="T405" s="37" t="n"/>
      <c r="U405" s="37" t="n"/>
      <c r="V405" s="38" t="n"/>
      <c r="W405" s="28" t="inlineStr">
        <is>
          <t>21 ans 40 ans</t>
        </is>
      </c>
      <c r="X405" s="37" t="n"/>
      <c r="Y405" s="37" t="n"/>
      <c r="Z405" s="38" t="n"/>
      <c r="AA405" s="29" t="n">
        <v>8484</v>
      </c>
      <c r="AB405" s="37" t="n"/>
      <c r="AC405" s="37" t="n"/>
      <c r="AD405" s="37" t="n"/>
      <c r="AE405" s="37" t="n"/>
      <c r="AF405" s="38" t="n"/>
      <c r="AG405" s="29" t="n">
        <v>8779</v>
      </c>
      <c r="AH405" s="37" t="n"/>
      <c r="AI405" s="38" t="n"/>
    </row>
    <row r="406" ht="17.1" customHeight="1" s="36">
      <c r="O406" s="28" t="inlineStr">
        <is>
          <t>INSC2SG</t>
        </is>
      </c>
      <c r="P406" s="37" t="n"/>
      <c r="Q406" s="38" t="n"/>
      <c r="R406" s="28" t="inlineStr">
        <is>
          <t>010</t>
        </is>
      </c>
      <c r="S406" s="37" t="n"/>
      <c r="T406" s="37" t="n"/>
      <c r="U406" s="37" t="n"/>
      <c r="V406" s="38" t="n"/>
      <c r="W406" s="28" t="inlineStr">
        <is>
          <t>41 ans 60 ans</t>
        </is>
      </c>
      <c r="X406" s="37" t="n"/>
      <c r="Y406" s="37" t="n"/>
      <c r="Z406" s="38" t="n"/>
      <c r="AA406" s="29" t="n">
        <v>4812</v>
      </c>
      <c r="AB406" s="37" t="n"/>
      <c r="AC406" s="37" t="n"/>
      <c r="AD406" s="37" t="n"/>
      <c r="AE406" s="37" t="n"/>
      <c r="AF406" s="38" t="n"/>
      <c r="AG406" s="29" t="n">
        <v>4984</v>
      </c>
      <c r="AH406" s="37" t="n"/>
      <c r="AI406" s="38" t="n"/>
    </row>
    <row r="407" ht="17.1" customHeight="1" s="36">
      <c r="O407" s="28" t="inlineStr">
        <is>
          <t>INSC2SG</t>
        </is>
      </c>
      <c r="P407" s="37" t="n"/>
      <c r="Q407" s="38" t="n"/>
      <c r="R407" s="28" t="inlineStr">
        <is>
          <t>010</t>
        </is>
      </c>
      <c r="S407" s="37" t="n"/>
      <c r="T407" s="37" t="n"/>
      <c r="U407" s="37" t="n"/>
      <c r="V407" s="38" t="n"/>
      <c r="W407" s="28" t="inlineStr">
        <is>
          <t>61 ans 80 ans</t>
        </is>
      </c>
      <c r="X407" s="37" t="n"/>
      <c r="Y407" s="37" t="n"/>
      <c r="Z407" s="38" t="n"/>
      <c r="AA407" s="29" t="n">
        <v>1235</v>
      </c>
      <c r="AB407" s="37" t="n"/>
      <c r="AC407" s="37" t="n"/>
      <c r="AD407" s="37" t="n"/>
      <c r="AE407" s="37" t="n"/>
      <c r="AF407" s="38" t="n"/>
      <c r="AG407" s="29" t="n">
        <v>1283</v>
      </c>
      <c r="AH407" s="37" t="n"/>
      <c r="AI407" s="38" t="n"/>
    </row>
    <row r="408" ht="17.1" customHeight="1" s="36">
      <c r="O408" s="28" t="inlineStr">
        <is>
          <t>INSC2SG</t>
        </is>
      </c>
      <c r="P408" s="37" t="n"/>
      <c r="Q408" s="38" t="n"/>
      <c r="R408" s="28" t="inlineStr">
        <is>
          <t>010</t>
        </is>
      </c>
      <c r="S408" s="37" t="n"/>
      <c r="T408" s="37" t="n"/>
      <c r="U408" s="37" t="n"/>
      <c r="V408" s="38" t="n"/>
      <c r="W408" s="28" t="inlineStr">
        <is>
          <t>Plus de 80 ans</t>
        </is>
      </c>
      <c r="X408" s="37" t="n"/>
      <c r="Y408" s="37" t="n"/>
      <c r="Z408" s="38" t="n"/>
      <c r="AA408" s="29" t="n">
        <v>81</v>
      </c>
      <c r="AB408" s="37" t="n"/>
      <c r="AC408" s="37" t="n"/>
      <c r="AD408" s="37" t="n"/>
      <c r="AE408" s="37" t="n"/>
      <c r="AF408" s="38" t="n"/>
      <c r="AG408" s="29" t="n">
        <v>84</v>
      </c>
      <c r="AH408" s="37" t="n"/>
      <c r="AI408" s="38" t="n"/>
    </row>
    <row r="409" ht="17.1" customHeight="1" s="36">
      <c r="O409" s="28" t="inlineStr">
        <is>
          <t>INSC2SP</t>
        </is>
      </c>
      <c r="P409" s="37" t="n"/>
      <c r="Q409" s="38" t="n"/>
      <c r="R409" s="28" t="inlineStr">
        <is>
          <t>010</t>
        </is>
      </c>
      <c r="S409" s="37" t="n"/>
      <c r="T409" s="37" t="n"/>
      <c r="U409" s="37" t="n"/>
      <c r="V409" s="38" t="n"/>
      <c r="W409" s="28" t="inlineStr">
        <is>
          <t>Moins de 20 ans</t>
        </is>
      </c>
      <c r="X409" s="37" t="n"/>
      <c r="Y409" s="37" t="n"/>
      <c r="Z409" s="38" t="n"/>
      <c r="AA409" s="29" t="n">
        <v>4759</v>
      </c>
      <c r="AB409" s="37" t="n"/>
      <c r="AC409" s="37" t="n"/>
      <c r="AD409" s="37" t="n"/>
      <c r="AE409" s="37" t="n"/>
      <c r="AF409" s="38" t="n"/>
      <c r="AG409" s="29" t="n">
        <v>4891</v>
      </c>
      <c r="AH409" s="37" t="n"/>
      <c r="AI409" s="38" t="n"/>
    </row>
    <row r="410" ht="17.1" customHeight="1" s="36">
      <c r="O410" s="28" t="inlineStr">
        <is>
          <t>INSC2SP</t>
        </is>
      </c>
      <c r="P410" s="37" t="n"/>
      <c r="Q410" s="38" t="n"/>
      <c r="R410" s="28" t="inlineStr">
        <is>
          <t>010</t>
        </is>
      </c>
      <c r="S410" s="37" t="n"/>
      <c r="T410" s="37" t="n"/>
      <c r="U410" s="37" t="n"/>
      <c r="V410" s="38" t="n"/>
      <c r="W410" s="28" t="inlineStr">
        <is>
          <t>21 ans 40 ans</t>
        </is>
      </c>
      <c r="X410" s="37" t="n"/>
      <c r="Y410" s="37" t="n"/>
      <c r="Z410" s="38" t="n"/>
      <c r="AA410" s="29" t="n">
        <v>2879</v>
      </c>
      <c r="AB410" s="37" t="n"/>
      <c r="AC410" s="37" t="n"/>
      <c r="AD410" s="37" t="n"/>
      <c r="AE410" s="37" t="n"/>
      <c r="AF410" s="38" t="n"/>
      <c r="AG410" s="29" t="n">
        <v>2996</v>
      </c>
      <c r="AH410" s="37" t="n"/>
      <c r="AI410" s="38" t="n"/>
    </row>
    <row r="411" ht="17.1" customHeight="1" s="36">
      <c r="O411" s="28" t="inlineStr">
        <is>
          <t>INSC2SP</t>
        </is>
      </c>
      <c r="P411" s="37" t="n"/>
      <c r="Q411" s="38" t="n"/>
      <c r="R411" s="28" t="inlineStr">
        <is>
          <t>010</t>
        </is>
      </c>
      <c r="S411" s="37" t="n"/>
      <c r="T411" s="37" t="n"/>
      <c r="U411" s="37" t="n"/>
      <c r="V411" s="38" t="n"/>
      <c r="W411" s="28" t="inlineStr">
        <is>
          <t>41 ans 60 ans</t>
        </is>
      </c>
      <c r="X411" s="37" t="n"/>
      <c r="Y411" s="37" t="n"/>
      <c r="Z411" s="38" t="n"/>
      <c r="AA411" s="29" t="n">
        <v>4380</v>
      </c>
      <c r="AB411" s="37" t="n"/>
      <c r="AC411" s="37" t="n"/>
      <c r="AD411" s="37" t="n"/>
      <c r="AE411" s="37" t="n"/>
      <c r="AF411" s="38" t="n"/>
      <c r="AG411" s="29" t="n">
        <v>4657</v>
      </c>
      <c r="AH411" s="37" t="n"/>
      <c r="AI411" s="38" t="n"/>
    </row>
    <row r="412" ht="17.1" customHeight="1" s="36">
      <c r="O412" s="28" t="inlineStr">
        <is>
          <t>INSC2SP</t>
        </is>
      </c>
      <c r="P412" s="37" t="n"/>
      <c r="Q412" s="38" t="n"/>
      <c r="R412" s="28" t="inlineStr">
        <is>
          <t>010</t>
        </is>
      </c>
      <c r="S412" s="37" t="n"/>
      <c r="T412" s="37" t="n"/>
      <c r="U412" s="37" t="n"/>
      <c r="V412" s="38" t="n"/>
      <c r="W412" s="28" t="inlineStr">
        <is>
          <t>61 ans 80 ans</t>
        </is>
      </c>
      <c r="X412" s="37" t="n"/>
      <c r="Y412" s="37" t="n"/>
      <c r="Z412" s="38" t="n"/>
      <c r="AA412" s="29" t="n">
        <v>3429</v>
      </c>
      <c r="AB412" s="37" t="n"/>
      <c r="AC412" s="37" t="n"/>
      <c r="AD412" s="37" t="n"/>
      <c r="AE412" s="37" t="n"/>
      <c r="AF412" s="38" t="n"/>
      <c r="AG412" s="29" t="n">
        <v>3712</v>
      </c>
      <c r="AH412" s="37" t="n"/>
      <c r="AI412" s="38" t="n"/>
    </row>
    <row r="413" ht="17.1" customHeight="1" s="36">
      <c r="O413" s="28" t="inlineStr">
        <is>
          <t>INSC2SP</t>
        </is>
      </c>
      <c r="P413" s="37" t="n"/>
      <c r="Q413" s="38" t="n"/>
      <c r="R413" s="28" t="inlineStr">
        <is>
          <t>010</t>
        </is>
      </c>
      <c r="S413" s="37" t="n"/>
      <c r="T413" s="37" t="n"/>
      <c r="U413" s="37" t="n"/>
      <c r="V413" s="38" t="n"/>
      <c r="W413" s="28" t="inlineStr">
        <is>
          <t>Plus de 80 ans</t>
        </is>
      </c>
      <c r="X413" s="37" t="n"/>
      <c r="Y413" s="37" t="n"/>
      <c r="Z413" s="38" t="n"/>
      <c r="AA413" s="29" t="n">
        <v>573</v>
      </c>
      <c r="AB413" s="37" t="n"/>
      <c r="AC413" s="37" t="n"/>
      <c r="AD413" s="37" t="n"/>
      <c r="AE413" s="37" t="n"/>
      <c r="AF413" s="38" t="n"/>
      <c r="AG413" s="29" t="n">
        <v>632</v>
      </c>
      <c r="AH413" s="37" t="n"/>
      <c r="AI413" s="38" t="n"/>
    </row>
    <row r="414" ht="17.1" customHeight="1" s="36">
      <c r="O414" s="28" t="inlineStr">
        <is>
          <t>INSC2SP</t>
        </is>
      </c>
      <c r="P414" s="37" t="n"/>
      <c r="Q414" s="38" t="n"/>
      <c r="R414" s="28" t="inlineStr">
        <is>
          <t>010</t>
        </is>
      </c>
      <c r="S414" s="37" t="n"/>
      <c r="T414" s="37" t="n"/>
      <c r="U414" s="37" t="n"/>
      <c r="V414" s="38" t="n"/>
      <c r="W414" s="28" t="n"/>
      <c r="X414" s="37" t="n"/>
      <c r="Y414" s="37" t="n"/>
      <c r="Z414" s="38" t="n"/>
      <c r="AA414" s="29" t="n"/>
      <c r="AB414" s="37" t="n"/>
      <c r="AC414" s="37" t="n"/>
      <c r="AD414" s="37" t="n"/>
      <c r="AE414" s="37" t="n"/>
      <c r="AF414" s="38" t="n"/>
      <c r="AG414" s="29" t="n">
        <v>1</v>
      </c>
      <c r="AH414" s="37" t="n"/>
      <c r="AI414" s="38" t="n"/>
    </row>
    <row r="415" ht="17.1" customHeight="1" s="36">
      <c r="O415" s="28" t="inlineStr">
        <is>
          <t>INSC2SS</t>
        </is>
      </c>
      <c r="P415" s="37" t="n"/>
      <c r="Q415" s="38" t="n"/>
      <c r="R415" s="28" t="inlineStr">
        <is>
          <t>010</t>
        </is>
      </c>
      <c r="S415" s="37" t="n"/>
      <c r="T415" s="37" t="n"/>
      <c r="U415" s="37" t="n"/>
      <c r="V415" s="38" t="n"/>
      <c r="W415" s="28" t="inlineStr">
        <is>
          <t>Moins de 20 ans</t>
        </is>
      </c>
      <c r="X415" s="37" t="n"/>
      <c r="Y415" s="37" t="n"/>
      <c r="Z415" s="38" t="n"/>
      <c r="AA415" s="29" t="n">
        <v>304</v>
      </c>
      <c r="AB415" s="37" t="n"/>
      <c r="AC415" s="37" t="n"/>
      <c r="AD415" s="37" t="n"/>
      <c r="AE415" s="37" t="n"/>
      <c r="AF415" s="38" t="n"/>
      <c r="AG415" s="29" t="n">
        <v>304</v>
      </c>
      <c r="AH415" s="37" t="n"/>
      <c r="AI415" s="38" t="n"/>
    </row>
    <row r="416" ht="17.1" customHeight="1" s="36">
      <c r="O416" s="28" t="inlineStr">
        <is>
          <t>INSC2SS</t>
        </is>
      </c>
      <c r="P416" s="37" t="n"/>
      <c r="Q416" s="38" t="n"/>
      <c r="R416" s="28" t="inlineStr">
        <is>
          <t>010</t>
        </is>
      </c>
      <c r="S416" s="37" t="n"/>
      <c r="T416" s="37" t="n"/>
      <c r="U416" s="37" t="n"/>
      <c r="V416" s="38" t="n"/>
      <c r="W416" s="28" t="inlineStr">
        <is>
          <t>21 ans 40 ans</t>
        </is>
      </c>
      <c r="X416" s="37" t="n"/>
      <c r="Y416" s="37" t="n"/>
      <c r="Z416" s="38" t="n"/>
      <c r="AA416" s="29" t="n">
        <v>265</v>
      </c>
      <c r="AB416" s="37" t="n"/>
      <c r="AC416" s="37" t="n"/>
      <c r="AD416" s="37" t="n"/>
      <c r="AE416" s="37" t="n"/>
      <c r="AF416" s="38" t="n"/>
      <c r="AG416" s="29" t="n">
        <v>265</v>
      </c>
      <c r="AH416" s="37" t="n"/>
      <c r="AI416" s="38" t="n"/>
    </row>
    <row r="417" ht="17.1" customHeight="1" s="36">
      <c r="O417" s="28" t="inlineStr">
        <is>
          <t>INSC2SS</t>
        </is>
      </c>
      <c r="P417" s="37" t="n"/>
      <c r="Q417" s="38" t="n"/>
      <c r="R417" s="28" t="inlineStr">
        <is>
          <t>010</t>
        </is>
      </c>
      <c r="S417" s="37" t="n"/>
      <c r="T417" s="37" t="n"/>
      <c r="U417" s="37" t="n"/>
      <c r="V417" s="38" t="n"/>
      <c r="W417" s="28" t="inlineStr">
        <is>
          <t>41 ans 60 ans</t>
        </is>
      </c>
      <c r="X417" s="37" t="n"/>
      <c r="Y417" s="37" t="n"/>
      <c r="Z417" s="38" t="n"/>
      <c r="AA417" s="29" t="n">
        <v>268</v>
      </c>
      <c r="AB417" s="37" t="n"/>
      <c r="AC417" s="37" t="n"/>
      <c r="AD417" s="37" t="n"/>
      <c r="AE417" s="37" t="n"/>
      <c r="AF417" s="38" t="n"/>
      <c r="AG417" s="29" t="n">
        <v>268</v>
      </c>
      <c r="AH417" s="37" t="n"/>
      <c r="AI417" s="38" t="n"/>
    </row>
    <row r="418" ht="17.1" customHeight="1" s="36">
      <c r="O418" s="28" t="inlineStr">
        <is>
          <t>INSC2SS</t>
        </is>
      </c>
      <c r="P418" s="37" t="n"/>
      <c r="Q418" s="38" t="n"/>
      <c r="R418" s="28" t="inlineStr">
        <is>
          <t>010</t>
        </is>
      </c>
      <c r="S418" s="37" t="n"/>
      <c r="T418" s="37" t="n"/>
      <c r="U418" s="37" t="n"/>
      <c r="V418" s="38" t="n"/>
      <c r="W418" s="28" t="inlineStr">
        <is>
          <t>61 ans 80 ans</t>
        </is>
      </c>
      <c r="X418" s="37" t="n"/>
      <c r="Y418" s="37" t="n"/>
      <c r="Z418" s="38" t="n"/>
      <c r="AA418" s="29" t="n">
        <v>215</v>
      </c>
      <c r="AB418" s="37" t="n"/>
      <c r="AC418" s="37" t="n"/>
      <c r="AD418" s="37" t="n"/>
      <c r="AE418" s="37" t="n"/>
      <c r="AF418" s="38" t="n"/>
      <c r="AG418" s="29" t="n">
        <v>216</v>
      </c>
      <c r="AH418" s="37" t="n"/>
      <c r="AI418" s="38" t="n"/>
    </row>
    <row r="419" ht="17.1" customHeight="1" s="36">
      <c r="O419" s="28" t="inlineStr">
        <is>
          <t>INSC2SS</t>
        </is>
      </c>
      <c r="P419" s="37" t="n"/>
      <c r="Q419" s="38" t="n"/>
      <c r="R419" s="28" t="inlineStr">
        <is>
          <t>010</t>
        </is>
      </c>
      <c r="S419" s="37" t="n"/>
      <c r="T419" s="37" t="n"/>
      <c r="U419" s="37" t="n"/>
      <c r="V419" s="38" t="n"/>
      <c r="W419" s="28" t="inlineStr">
        <is>
          <t>Plus de 80 ans</t>
        </is>
      </c>
      <c r="X419" s="37" t="n"/>
      <c r="Y419" s="37" t="n"/>
      <c r="Z419" s="38" t="n"/>
      <c r="AA419" s="29" t="n">
        <v>23</v>
      </c>
      <c r="AB419" s="37" t="n"/>
      <c r="AC419" s="37" t="n"/>
      <c r="AD419" s="37" t="n"/>
      <c r="AE419" s="37" t="n"/>
      <c r="AF419" s="38" t="n"/>
      <c r="AG419" s="29" t="n">
        <v>23</v>
      </c>
      <c r="AH419" s="37" t="n"/>
      <c r="AI419" s="38" t="n"/>
    </row>
    <row r="420" ht="17.1" customHeight="1" s="36">
      <c r="O420" s="28" t="inlineStr">
        <is>
          <t>INSEFFBRED</t>
        </is>
      </c>
      <c r="P420" s="37" t="n"/>
      <c r="Q420" s="38" t="n"/>
      <c r="R420" s="28" t="inlineStr">
        <is>
          <t>010</t>
        </is>
      </c>
      <c r="S420" s="37" t="n"/>
      <c r="T420" s="37" t="n"/>
      <c r="U420" s="37" t="n"/>
      <c r="V420" s="38" t="n"/>
      <c r="W420" s="28" t="inlineStr">
        <is>
          <t>Moins de 20 ans</t>
        </is>
      </c>
      <c r="X420" s="37" t="n"/>
      <c r="Y420" s="37" t="n"/>
      <c r="Z420" s="38" t="n"/>
      <c r="AA420" s="29" t="n">
        <v>148</v>
      </c>
      <c r="AB420" s="37" t="n"/>
      <c r="AC420" s="37" t="n"/>
      <c r="AD420" s="37" t="n"/>
      <c r="AE420" s="37" t="n"/>
      <c r="AF420" s="38" t="n"/>
      <c r="AG420" s="29" t="n">
        <v>148</v>
      </c>
      <c r="AH420" s="37" t="n"/>
      <c r="AI420" s="38" t="n"/>
    </row>
    <row r="421" ht="17.1" customHeight="1" s="36">
      <c r="O421" s="28" t="inlineStr">
        <is>
          <t>INSEFFBRED</t>
        </is>
      </c>
      <c r="P421" s="37" t="n"/>
      <c r="Q421" s="38" t="n"/>
      <c r="R421" s="28" t="inlineStr">
        <is>
          <t>010</t>
        </is>
      </c>
      <c r="S421" s="37" t="n"/>
      <c r="T421" s="37" t="n"/>
      <c r="U421" s="37" t="n"/>
      <c r="V421" s="38" t="n"/>
      <c r="W421" s="28" t="inlineStr">
        <is>
          <t>21 ans 40 ans</t>
        </is>
      </c>
      <c r="X421" s="37" t="n"/>
      <c r="Y421" s="37" t="n"/>
      <c r="Z421" s="38" t="n"/>
      <c r="AA421" s="29" t="n">
        <v>200</v>
      </c>
      <c r="AB421" s="37" t="n"/>
      <c r="AC421" s="37" t="n"/>
      <c r="AD421" s="37" t="n"/>
      <c r="AE421" s="37" t="n"/>
      <c r="AF421" s="38" t="n"/>
      <c r="AG421" s="29" t="n">
        <v>200</v>
      </c>
      <c r="AH421" s="37" t="n"/>
      <c r="AI421" s="38" t="n"/>
    </row>
    <row r="422" ht="17.1" customHeight="1" s="36">
      <c r="O422" s="28" t="inlineStr">
        <is>
          <t>INSEFFBRED</t>
        </is>
      </c>
      <c r="P422" s="37" t="n"/>
      <c r="Q422" s="38" t="n"/>
      <c r="R422" s="28" t="inlineStr">
        <is>
          <t>010</t>
        </is>
      </c>
      <c r="S422" s="37" t="n"/>
      <c r="T422" s="37" t="n"/>
      <c r="U422" s="37" t="n"/>
      <c r="V422" s="38" t="n"/>
      <c r="W422" s="28" t="inlineStr">
        <is>
          <t>41 ans 60 ans</t>
        </is>
      </c>
      <c r="X422" s="37" t="n"/>
      <c r="Y422" s="37" t="n"/>
      <c r="Z422" s="38" t="n"/>
      <c r="AA422" s="29" t="n">
        <v>211</v>
      </c>
      <c r="AB422" s="37" t="n"/>
      <c r="AC422" s="37" t="n"/>
      <c r="AD422" s="37" t="n"/>
      <c r="AE422" s="37" t="n"/>
      <c r="AF422" s="38" t="n"/>
      <c r="AG422" s="29" t="n">
        <v>211</v>
      </c>
      <c r="AH422" s="37" t="n"/>
      <c r="AI422" s="38" t="n"/>
    </row>
    <row r="423" ht="17.1" customHeight="1" s="36">
      <c r="O423" s="28" t="inlineStr">
        <is>
          <t>INSEFFBRED</t>
        </is>
      </c>
      <c r="P423" s="37" t="n"/>
      <c r="Q423" s="38" t="n"/>
      <c r="R423" s="28" t="inlineStr">
        <is>
          <t>010</t>
        </is>
      </c>
      <c r="S423" s="37" t="n"/>
      <c r="T423" s="37" t="n"/>
      <c r="U423" s="37" t="n"/>
      <c r="V423" s="38" t="n"/>
      <c r="W423" s="28" t="inlineStr">
        <is>
          <t>61 ans 80 ans</t>
        </is>
      </c>
      <c r="X423" s="37" t="n"/>
      <c r="Y423" s="37" t="n"/>
      <c r="Z423" s="38" t="n"/>
      <c r="AA423" s="29" t="n">
        <v>278</v>
      </c>
      <c r="AB423" s="37" t="n"/>
      <c r="AC423" s="37" t="n"/>
      <c r="AD423" s="37" t="n"/>
      <c r="AE423" s="37" t="n"/>
      <c r="AF423" s="38" t="n"/>
      <c r="AG423" s="29" t="n">
        <v>279</v>
      </c>
      <c r="AH423" s="37" t="n"/>
      <c r="AI423" s="38" t="n"/>
    </row>
    <row r="424" ht="17.1" customHeight="1" s="36">
      <c r="O424" s="28" t="inlineStr">
        <is>
          <t>INSEFFBRED</t>
        </is>
      </c>
      <c r="P424" s="37" t="n"/>
      <c r="Q424" s="38" t="n"/>
      <c r="R424" s="28" t="inlineStr">
        <is>
          <t>010</t>
        </is>
      </c>
      <c r="S424" s="37" t="n"/>
      <c r="T424" s="37" t="n"/>
      <c r="U424" s="37" t="n"/>
      <c r="V424" s="38" t="n"/>
      <c r="W424" s="28" t="inlineStr">
        <is>
          <t>Plus de 80 ans</t>
        </is>
      </c>
      <c r="X424" s="37" t="n"/>
      <c r="Y424" s="37" t="n"/>
      <c r="Z424" s="38" t="n"/>
      <c r="AA424" s="29" t="n">
        <v>68</v>
      </c>
      <c r="AB424" s="37" t="n"/>
      <c r="AC424" s="37" t="n"/>
      <c r="AD424" s="37" t="n"/>
      <c r="AE424" s="37" t="n"/>
      <c r="AF424" s="38" t="n"/>
      <c r="AG424" s="29" t="n">
        <v>68</v>
      </c>
      <c r="AH424" s="37" t="n"/>
      <c r="AI424" s="38" t="n"/>
    </row>
    <row r="425" ht="17.1" customHeight="1" s="36">
      <c r="O425" s="28" t="inlineStr">
        <is>
          <t>INSEFFICIE</t>
        </is>
      </c>
      <c r="P425" s="37" t="n"/>
      <c r="Q425" s="38" t="n"/>
      <c r="R425" s="28" t="inlineStr">
        <is>
          <t>010</t>
        </is>
      </c>
      <c r="S425" s="37" t="n"/>
      <c r="T425" s="37" t="n"/>
      <c r="U425" s="37" t="n"/>
      <c r="V425" s="38" t="n"/>
      <c r="W425" s="28" t="inlineStr">
        <is>
          <t>Moins de 20 ans</t>
        </is>
      </c>
      <c r="X425" s="37" t="n"/>
      <c r="Y425" s="37" t="n"/>
      <c r="Z425" s="38" t="n"/>
      <c r="AA425" s="29" t="n">
        <v>18151</v>
      </c>
      <c r="AB425" s="37" t="n"/>
      <c r="AC425" s="37" t="n"/>
      <c r="AD425" s="37" t="n"/>
      <c r="AE425" s="37" t="n"/>
      <c r="AF425" s="38" t="n"/>
      <c r="AG425" s="29" t="n">
        <v>18171</v>
      </c>
      <c r="AH425" s="37" t="n"/>
      <c r="AI425" s="38" t="n"/>
    </row>
    <row r="426" ht="17.1" customHeight="1" s="36">
      <c r="O426" s="28" t="inlineStr">
        <is>
          <t>INSEFFICIE</t>
        </is>
      </c>
      <c r="P426" s="37" t="n"/>
      <c r="Q426" s="38" t="n"/>
      <c r="R426" s="28" t="inlineStr">
        <is>
          <t>010</t>
        </is>
      </c>
      <c r="S426" s="37" t="n"/>
      <c r="T426" s="37" t="n"/>
      <c r="U426" s="37" t="n"/>
      <c r="V426" s="38" t="n"/>
      <c r="W426" s="28" t="inlineStr">
        <is>
          <t>21 ans 40 ans</t>
        </is>
      </c>
      <c r="X426" s="37" t="n"/>
      <c r="Y426" s="37" t="n"/>
      <c r="Z426" s="38" t="n"/>
      <c r="AA426" s="29" t="n">
        <v>33037</v>
      </c>
      <c r="AB426" s="37" t="n"/>
      <c r="AC426" s="37" t="n"/>
      <c r="AD426" s="37" t="n"/>
      <c r="AE426" s="37" t="n"/>
      <c r="AF426" s="38" t="n"/>
      <c r="AG426" s="29" t="n">
        <v>33048</v>
      </c>
      <c r="AH426" s="37" t="n"/>
      <c r="AI426" s="38" t="n"/>
    </row>
    <row r="427" ht="17.1" customHeight="1" s="36">
      <c r="O427" s="28" t="inlineStr">
        <is>
          <t>INSEFFICIE</t>
        </is>
      </c>
      <c r="P427" s="37" t="n"/>
      <c r="Q427" s="38" t="n"/>
      <c r="R427" s="28" t="inlineStr">
        <is>
          <t>010</t>
        </is>
      </c>
      <c r="S427" s="37" t="n"/>
      <c r="T427" s="37" t="n"/>
      <c r="U427" s="37" t="n"/>
      <c r="V427" s="38" t="n"/>
      <c r="W427" s="28" t="inlineStr">
        <is>
          <t>41 ans 60 ans</t>
        </is>
      </c>
      <c r="X427" s="37" t="n"/>
      <c r="Y427" s="37" t="n"/>
      <c r="Z427" s="38" t="n"/>
      <c r="AA427" s="29" t="n">
        <v>31255</v>
      </c>
      <c r="AB427" s="37" t="n"/>
      <c r="AC427" s="37" t="n"/>
      <c r="AD427" s="37" t="n"/>
      <c r="AE427" s="37" t="n"/>
      <c r="AF427" s="38" t="n"/>
      <c r="AG427" s="29" t="n">
        <v>31255</v>
      </c>
      <c r="AH427" s="37" t="n"/>
      <c r="AI427" s="38" t="n"/>
    </row>
    <row r="428" ht="17.1" customHeight="1" s="36">
      <c r="O428" s="28" t="inlineStr">
        <is>
          <t>INSEFFICIE</t>
        </is>
      </c>
      <c r="P428" s="37" t="n"/>
      <c r="Q428" s="38" t="n"/>
      <c r="R428" s="28" t="inlineStr">
        <is>
          <t>010</t>
        </is>
      </c>
      <c r="S428" s="37" t="n"/>
      <c r="T428" s="37" t="n"/>
      <c r="U428" s="37" t="n"/>
      <c r="V428" s="38" t="n"/>
      <c r="W428" s="28" t="inlineStr">
        <is>
          <t>61 ans 80 ans</t>
        </is>
      </c>
      <c r="X428" s="37" t="n"/>
      <c r="Y428" s="37" t="n"/>
      <c r="Z428" s="38" t="n"/>
      <c r="AA428" s="29" t="n">
        <v>24698</v>
      </c>
      <c r="AB428" s="37" t="n"/>
      <c r="AC428" s="37" t="n"/>
      <c r="AD428" s="37" t="n"/>
      <c r="AE428" s="37" t="n"/>
      <c r="AF428" s="38" t="n"/>
      <c r="AG428" s="29" t="n">
        <v>24716</v>
      </c>
      <c r="AH428" s="37" t="n"/>
      <c r="AI428" s="38" t="n"/>
    </row>
    <row r="429" ht="17.1" customHeight="1" s="36">
      <c r="O429" s="28" t="inlineStr">
        <is>
          <t>INSEFFICIE</t>
        </is>
      </c>
      <c r="P429" s="37" t="n"/>
      <c r="Q429" s="38" t="n"/>
      <c r="R429" s="28" t="inlineStr">
        <is>
          <t>010</t>
        </is>
      </c>
      <c r="S429" s="37" t="n"/>
      <c r="T429" s="37" t="n"/>
      <c r="U429" s="37" t="n"/>
      <c r="V429" s="38" t="n"/>
      <c r="W429" s="28" t="inlineStr">
        <is>
          <t>Plus de 80 ans</t>
        </is>
      </c>
      <c r="X429" s="37" t="n"/>
      <c r="Y429" s="37" t="n"/>
      <c r="Z429" s="38" t="n"/>
      <c r="AA429" s="29" t="n">
        <v>4816</v>
      </c>
      <c r="AB429" s="37" t="n"/>
      <c r="AC429" s="37" t="n"/>
      <c r="AD429" s="37" t="n"/>
      <c r="AE429" s="37" t="n"/>
      <c r="AF429" s="38" t="n"/>
      <c r="AG429" s="29" t="n">
        <v>4816</v>
      </c>
      <c r="AH429" s="37" t="n"/>
      <c r="AI429" s="38" t="n"/>
    </row>
    <row r="430" ht="17.1" customHeight="1" s="36">
      <c r="O430" s="28" t="inlineStr">
        <is>
          <t>INSMAEEPNR</t>
        </is>
      </c>
      <c r="P430" s="37" t="n"/>
      <c r="Q430" s="38" t="n"/>
      <c r="R430" s="28" t="inlineStr">
        <is>
          <t>044</t>
        </is>
      </c>
      <c r="S430" s="37" t="n"/>
      <c r="T430" s="37" t="n"/>
      <c r="U430" s="37" t="n"/>
      <c r="V430" s="38" t="n"/>
      <c r="W430" s="28" t="inlineStr">
        <is>
          <t>Moins de 20 ans</t>
        </is>
      </c>
      <c r="X430" s="37" t="n"/>
      <c r="Y430" s="37" t="n"/>
      <c r="Z430" s="38" t="n"/>
      <c r="AA430" s="29" t="n">
        <v>8</v>
      </c>
      <c r="AB430" s="37" t="n"/>
      <c r="AC430" s="37" t="n"/>
      <c r="AD430" s="37" t="n"/>
      <c r="AE430" s="37" t="n"/>
      <c r="AF430" s="38" t="n"/>
      <c r="AG430" s="29" t="n">
        <v>8</v>
      </c>
      <c r="AH430" s="37" t="n"/>
      <c r="AI430" s="38" t="n"/>
    </row>
    <row r="431" ht="17.1" customHeight="1" s="36">
      <c r="O431" s="28" t="inlineStr">
        <is>
          <t>INSMAEEPNR</t>
        </is>
      </c>
      <c r="P431" s="37" t="n"/>
      <c r="Q431" s="38" t="n"/>
      <c r="R431" s="28" t="inlineStr">
        <is>
          <t>044</t>
        </is>
      </c>
      <c r="S431" s="37" t="n"/>
      <c r="T431" s="37" t="n"/>
      <c r="U431" s="37" t="n"/>
      <c r="V431" s="38" t="n"/>
      <c r="W431" s="28" t="inlineStr">
        <is>
          <t>21 ans 40 ans</t>
        </is>
      </c>
      <c r="X431" s="37" t="n"/>
      <c r="Y431" s="37" t="n"/>
      <c r="Z431" s="38" t="n"/>
      <c r="AA431" s="29" t="n">
        <v>6</v>
      </c>
      <c r="AB431" s="37" t="n"/>
      <c r="AC431" s="37" t="n"/>
      <c r="AD431" s="37" t="n"/>
      <c r="AE431" s="37" t="n"/>
      <c r="AF431" s="38" t="n"/>
      <c r="AG431" s="29" t="n">
        <v>6</v>
      </c>
      <c r="AH431" s="37" t="n"/>
      <c r="AI431" s="38" t="n"/>
    </row>
    <row r="432" ht="17.1" customHeight="1" s="36">
      <c r="O432" s="28" t="inlineStr">
        <is>
          <t>INSMAEEPNR</t>
        </is>
      </c>
      <c r="P432" s="37" t="n"/>
      <c r="Q432" s="38" t="n"/>
      <c r="R432" s="28" t="inlineStr">
        <is>
          <t>044</t>
        </is>
      </c>
      <c r="S432" s="37" t="n"/>
      <c r="T432" s="37" t="n"/>
      <c r="U432" s="37" t="n"/>
      <c r="V432" s="38" t="n"/>
      <c r="W432" s="28" t="inlineStr">
        <is>
          <t>41 ans 60 ans</t>
        </is>
      </c>
      <c r="X432" s="37" t="n"/>
      <c r="Y432" s="37" t="n"/>
      <c r="Z432" s="38" t="n"/>
      <c r="AA432" s="29" t="n">
        <v>9</v>
      </c>
      <c r="AB432" s="37" t="n"/>
      <c r="AC432" s="37" t="n"/>
      <c r="AD432" s="37" t="n"/>
      <c r="AE432" s="37" t="n"/>
      <c r="AF432" s="38" t="n"/>
      <c r="AG432" s="29" t="n">
        <v>9</v>
      </c>
      <c r="AH432" s="37" t="n"/>
      <c r="AI432" s="38" t="n"/>
    </row>
    <row r="433" ht="17.1" customHeight="1" s="36">
      <c r="O433" s="28" t="inlineStr">
        <is>
          <t>INSMAEEPNR</t>
        </is>
      </c>
      <c r="P433" s="37" t="n"/>
      <c r="Q433" s="38" t="n"/>
      <c r="R433" s="28" t="inlineStr">
        <is>
          <t>044</t>
        </is>
      </c>
      <c r="S433" s="37" t="n"/>
      <c r="T433" s="37" t="n"/>
      <c r="U433" s="37" t="n"/>
      <c r="V433" s="38" t="n"/>
      <c r="W433" s="28" t="inlineStr">
        <is>
          <t>61 ans 80 ans</t>
        </is>
      </c>
      <c r="X433" s="37" t="n"/>
      <c r="Y433" s="37" t="n"/>
      <c r="Z433" s="38" t="n"/>
      <c r="AA433" s="29" t="n">
        <v>68</v>
      </c>
      <c r="AB433" s="37" t="n"/>
      <c r="AC433" s="37" t="n"/>
      <c r="AD433" s="37" t="n"/>
      <c r="AE433" s="37" t="n"/>
      <c r="AF433" s="38" t="n"/>
      <c r="AG433" s="29" t="n">
        <v>68</v>
      </c>
      <c r="AH433" s="37" t="n"/>
      <c r="AI433" s="38" t="n"/>
    </row>
    <row r="434" ht="17.1" customHeight="1" s="36">
      <c r="O434" s="28" t="inlineStr">
        <is>
          <t>INSMAEEPNR</t>
        </is>
      </c>
      <c r="P434" s="37" t="n"/>
      <c r="Q434" s="38" t="n"/>
      <c r="R434" s="28" t="inlineStr">
        <is>
          <t>044</t>
        </is>
      </c>
      <c r="S434" s="37" t="n"/>
      <c r="T434" s="37" t="n"/>
      <c r="U434" s="37" t="n"/>
      <c r="V434" s="38" t="n"/>
      <c r="W434" s="28" t="inlineStr">
        <is>
          <t>Plus de 80 ans</t>
        </is>
      </c>
      <c r="X434" s="37" t="n"/>
      <c r="Y434" s="37" t="n"/>
      <c r="Z434" s="38" t="n"/>
      <c r="AA434" s="29" t="n">
        <v>14</v>
      </c>
      <c r="AB434" s="37" t="n"/>
      <c r="AC434" s="37" t="n"/>
      <c r="AD434" s="37" t="n"/>
      <c r="AE434" s="37" t="n"/>
      <c r="AF434" s="38" t="n"/>
      <c r="AG434" s="29" t="n">
        <v>14</v>
      </c>
      <c r="AH434" s="37" t="n"/>
      <c r="AI434" s="38" t="n"/>
    </row>
    <row r="435" ht="17.1" customHeight="1" s="36">
      <c r="O435" s="28" t="inlineStr">
        <is>
          <t>INSMAEEREF</t>
        </is>
      </c>
      <c r="P435" s="37" t="n"/>
      <c r="Q435" s="38" t="n"/>
      <c r="R435" s="28" t="inlineStr">
        <is>
          <t>044</t>
        </is>
      </c>
      <c r="S435" s="37" t="n"/>
      <c r="T435" s="37" t="n"/>
      <c r="U435" s="37" t="n"/>
      <c r="V435" s="38" t="n"/>
      <c r="W435" s="28" t="inlineStr">
        <is>
          <t>Moins de 20 ans</t>
        </is>
      </c>
      <c r="X435" s="37" t="n"/>
      <c r="Y435" s="37" t="n"/>
      <c r="Z435" s="38" t="n"/>
      <c r="AA435" s="29" t="n">
        <v>5</v>
      </c>
      <c r="AB435" s="37" t="n"/>
      <c r="AC435" s="37" t="n"/>
      <c r="AD435" s="37" t="n"/>
      <c r="AE435" s="37" t="n"/>
      <c r="AF435" s="38" t="n"/>
      <c r="AG435" s="29" t="n">
        <v>5</v>
      </c>
      <c r="AH435" s="37" t="n"/>
      <c r="AI435" s="38" t="n"/>
    </row>
    <row r="436" ht="17.1" customHeight="1" s="36">
      <c r="O436" s="28" t="inlineStr">
        <is>
          <t>INSMAEEREF</t>
        </is>
      </c>
      <c r="P436" s="37" t="n"/>
      <c r="Q436" s="38" t="n"/>
      <c r="R436" s="28" t="inlineStr">
        <is>
          <t>044</t>
        </is>
      </c>
      <c r="S436" s="37" t="n"/>
      <c r="T436" s="37" t="n"/>
      <c r="U436" s="37" t="n"/>
      <c r="V436" s="38" t="n"/>
      <c r="W436" s="28" t="inlineStr">
        <is>
          <t>21 ans 40 ans</t>
        </is>
      </c>
      <c r="X436" s="37" t="n"/>
      <c r="Y436" s="37" t="n"/>
      <c r="Z436" s="38" t="n"/>
      <c r="AA436" s="29" t="n">
        <v>4</v>
      </c>
      <c r="AB436" s="37" t="n"/>
      <c r="AC436" s="37" t="n"/>
      <c r="AD436" s="37" t="n"/>
      <c r="AE436" s="37" t="n"/>
      <c r="AF436" s="38" t="n"/>
      <c r="AG436" s="29" t="n">
        <v>4</v>
      </c>
      <c r="AH436" s="37" t="n"/>
      <c r="AI436" s="38" t="n"/>
    </row>
    <row r="437" ht="17.1" customHeight="1" s="36">
      <c r="O437" s="28" t="inlineStr">
        <is>
          <t>INSMAEEREF</t>
        </is>
      </c>
      <c r="P437" s="37" t="n"/>
      <c r="Q437" s="38" t="n"/>
      <c r="R437" s="28" t="inlineStr">
        <is>
          <t>044</t>
        </is>
      </c>
      <c r="S437" s="37" t="n"/>
      <c r="T437" s="37" t="n"/>
      <c r="U437" s="37" t="n"/>
      <c r="V437" s="38" t="n"/>
      <c r="W437" s="28" t="inlineStr">
        <is>
          <t>41 ans 60 ans</t>
        </is>
      </c>
      <c r="X437" s="37" t="n"/>
      <c r="Y437" s="37" t="n"/>
      <c r="Z437" s="38" t="n"/>
      <c r="AA437" s="29" t="n">
        <v>8</v>
      </c>
      <c r="AB437" s="37" t="n"/>
      <c r="AC437" s="37" t="n"/>
      <c r="AD437" s="37" t="n"/>
      <c r="AE437" s="37" t="n"/>
      <c r="AF437" s="38" t="n"/>
      <c r="AG437" s="29" t="n">
        <v>8</v>
      </c>
      <c r="AH437" s="37" t="n"/>
      <c r="AI437" s="38" t="n"/>
    </row>
    <row r="438" ht="17.1" customHeight="1" s="36">
      <c r="O438" s="28" t="inlineStr">
        <is>
          <t>INSMAEEREF</t>
        </is>
      </c>
      <c r="P438" s="37" t="n"/>
      <c r="Q438" s="38" t="n"/>
      <c r="R438" s="28" t="inlineStr">
        <is>
          <t>044</t>
        </is>
      </c>
      <c r="S438" s="37" t="n"/>
      <c r="T438" s="37" t="n"/>
      <c r="U438" s="37" t="n"/>
      <c r="V438" s="38" t="n"/>
      <c r="W438" s="28" t="inlineStr">
        <is>
          <t>61 ans 80 ans</t>
        </is>
      </c>
      <c r="X438" s="37" t="n"/>
      <c r="Y438" s="37" t="n"/>
      <c r="Z438" s="38" t="n"/>
      <c r="AA438" s="29" t="n">
        <v>405</v>
      </c>
      <c r="AB438" s="37" t="n"/>
      <c r="AC438" s="37" t="n"/>
      <c r="AD438" s="37" t="n"/>
      <c r="AE438" s="37" t="n"/>
      <c r="AF438" s="38" t="n"/>
      <c r="AG438" s="29" t="n">
        <v>405</v>
      </c>
      <c r="AH438" s="37" t="n"/>
      <c r="AI438" s="38" t="n"/>
    </row>
    <row r="439" ht="17.1" customHeight="1" s="36">
      <c r="O439" s="28" t="inlineStr">
        <is>
          <t>INSMAEEREF</t>
        </is>
      </c>
      <c r="P439" s="37" t="n"/>
      <c r="Q439" s="38" t="n"/>
      <c r="R439" s="28" t="inlineStr">
        <is>
          <t>044</t>
        </is>
      </c>
      <c r="S439" s="37" t="n"/>
      <c r="T439" s="37" t="n"/>
      <c r="U439" s="37" t="n"/>
      <c r="V439" s="38" t="n"/>
      <c r="W439" s="28" t="inlineStr">
        <is>
          <t>Plus de 80 ans</t>
        </is>
      </c>
      <c r="X439" s="37" t="n"/>
      <c r="Y439" s="37" t="n"/>
      <c r="Z439" s="38" t="n"/>
      <c r="AA439" s="29" t="n">
        <v>219</v>
      </c>
      <c r="AB439" s="37" t="n"/>
      <c r="AC439" s="37" t="n"/>
      <c r="AD439" s="37" t="n"/>
      <c r="AE439" s="37" t="n"/>
      <c r="AF439" s="38" t="n"/>
      <c r="AG439" s="29" t="n">
        <v>219</v>
      </c>
      <c r="AH439" s="37" t="n"/>
      <c r="AI439" s="38" t="n"/>
    </row>
    <row r="440" ht="17.1" customHeight="1" s="36">
      <c r="O440" s="28" t="inlineStr">
        <is>
          <t>INSMAEERET</t>
        </is>
      </c>
      <c r="P440" s="37" t="n"/>
      <c r="Q440" s="38" t="n"/>
      <c r="R440" s="28" t="inlineStr">
        <is>
          <t>044</t>
        </is>
      </c>
      <c r="S440" s="37" t="n"/>
      <c r="T440" s="37" t="n"/>
      <c r="U440" s="37" t="n"/>
      <c r="V440" s="38" t="n"/>
      <c r="W440" s="28" t="inlineStr">
        <is>
          <t>Moins de 20 ans</t>
        </is>
      </c>
      <c r="X440" s="37" t="n"/>
      <c r="Y440" s="37" t="n"/>
      <c r="Z440" s="38" t="n"/>
      <c r="AA440" s="29" t="n">
        <v>142</v>
      </c>
      <c r="AB440" s="37" t="n"/>
      <c r="AC440" s="37" t="n"/>
      <c r="AD440" s="37" t="n"/>
      <c r="AE440" s="37" t="n"/>
      <c r="AF440" s="38" t="n"/>
      <c r="AG440" s="29" t="n">
        <v>142</v>
      </c>
      <c r="AH440" s="37" t="n"/>
      <c r="AI440" s="38" t="n"/>
    </row>
    <row r="441" ht="17.1" customHeight="1" s="36">
      <c r="O441" s="28" t="inlineStr">
        <is>
          <t>INSMAEERET</t>
        </is>
      </c>
      <c r="P441" s="37" t="n"/>
      <c r="Q441" s="38" t="n"/>
      <c r="R441" s="28" t="inlineStr">
        <is>
          <t>044</t>
        </is>
      </c>
      <c r="S441" s="37" t="n"/>
      <c r="T441" s="37" t="n"/>
      <c r="U441" s="37" t="n"/>
      <c r="V441" s="38" t="n"/>
      <c r="W441" s="28" t="inlineStr">
        <is>
          <t>21 ans 40 ans</t>
        </is>
      </c>
      <c r="X441" s="37" t="n"/>
      <c r="Y441" s="37" t="n"/>
      <c r="Z441" s="38" t="n"/>
      <c r="AA441" s="29" t="n">
        <v>110</v>
      </c>
      <c r="AB441" s="37" t="n"/>
      <c r="AC441" s="37" t="n"/>
      <c r="AD441" s="37" t="n"/>
      <c r="AE441" s="37" t="n"/>
      <c r="AF441" s="38" t="n"/>
      <c r="AG441" s="29" t="n">
        <v>110</v>
      </c>
      <c r="AH441" s="37" t="n"/>
      <c r="AI441" s="38" t="n"/>
    </row>
    <row r="442" ht="17.1" customHeight="1" s="36">
      <c r="O442" s="28" t="inlineStr">
        <is>
          <t>INSMAEERET</t>
        </is>
      </c>
      <c r="P442" s="37" t="n"/>
      <c r="Q442" s="38" t="n"/>
      <c r="R442" s="28" t="inlineStr">
        <is>
          <t>044</t>
        </is>
      </c>
      <c r="S442" s="37" t="n"/>
      <c r="T442" s="37" t="n"/>
      <c r="U442" s="37" t="n"/>
      <c r="V442" s="38" t="n"/>
      <c r="W442" s="28" t="inlineStr">
        <is>
          <t>41 ans 60 ans</t>
        </is>
      </c>
      <c r="X442" s="37" t="n"/>
      <c r="Y442" s="37" t="n"/>
      <c r="Z442" s="38" t="n"/>
      <c r="AA442" s="29" t="n">
        <v>254</v>
      </c>
      <c r="AB442" s="37" t="n"/>
      <c r="AC442" s="37" t="n"/>
      <c r="AD442" s="37" t="n"/>
      <c r="AE442" s="37" t="n"/>
      <c r="AF442" s="38" t="n"/>
      <c r="AG442" s="29" t="n">
        <v>254</v>
      </c>
      <c r="AH442" s="37" t="n"/>
      <c r="AI442" s="38" t="n"/>
    </row>
    <row r="443" ht="17.1" customHeight="1" s="36">
      <c r="O443" s="28" t="inlineStr">
        <is>
          <t>INSMAEERET</t>
        </is>
      </c>
      <c r="P443" s="37" t="n"/>
      <c r="Q443" s="38" t="n"/>
      <c r="R443" s="28" t="inlineStr">
        <is>
          <t>044</t>
        </is>
      </c>
      <c r="S443" s="37" t="n"/>
      <c r="T443" s="37" t="n"/>
      <c r="U443" s="37" t="n"/>
      <c r="V443" s="38" t="n"/>
      <c r="W443" s="28" t="inlineStr">
        <is>
          <t>61 ans 80 ans</t>
        </is>
      </c>
      <c r="X443" s="37" t="n"/>
      <c r="Y443" s="37" t="n"/>
      <c r="Z443" s="38" t="n"/>
      <c r="AA443" s="29" t="n">
        <v>3786</v>
      </c>
      <c r="AB443" s="37" t="n"/>
      <c r="AC443" s="37" t="n"/>
      <c r="AD443" s="37" t="n"/>
      <c r="AE443" s="37" t="n"/>
      <c r="AF443" s="38" t="n"/>
      <c r="AG443" s="29" t="n">
        <v>3785</v>
      </c>
      <c r="AH443" s="37" t="n"/>
      <c r="AI443" s="38" t="n"/>
    </row>
    <row r="444" ht="17.1" customHeight="1" s="36">
      <c r="O444" s="28" t="inlineStr">
        <is>
          <t>INSMAEERET</t>
        </is>
      </c>
      <c r="P444" s="37" t="n"/>
      <c r="Q444" s="38" t="n"/>
      <c r="R444" s="28" t="inlineStr">
        <is>
          <t>044</t>
        </is>
      </c>
      <c r="S444" s="37" t="n"/>
      <c r="T444" s="37" t="n"/>
      <c r="U444" s="37" t="n"/>
      <c r="V444" s="38" t="n"/>
      <c r="W444" s="28" t="inlineStr">
        <is>
          <t>Plus de 80 ans</t>
        </is>
      </c>
      <c r="X444" s="37" t="n"/>
      <c r="Y444" s="37" t="n"/>
      <c r="Z444" s="38" t="n"/>
      <c r="AA444" s="29" t="n">
        <v>1341</v>
      </c>
      <c r="AB444" s="37" t="n"/>
      <c r="AC444" s="37" t="n"/>
      <c r="AD444" s="37" t="n"/>
      <c r="AE444" s="37" t="n"/>
      <c r="AF444" s="38" t="n"/>
      <c r="AG444" s="29" t="n">
        <v>1341</v>
      </c>
      <c r="AH444" s="37" t="n"/>
      <c r="AI444" s="38" t="n"/>
    </row>
    <row r="445" ht="17.1" customHeight="1" s="36">
      <c r="O445" s="28" t="inlineStr">
        <is>
          <t>INSMALT001</t>
        </is>
      </c>
      <c r="P445" s="37" t="n"/>
      <c r="Q445" s="38" t="n"/>
      <c r="R445" s="28" t="inlineStr">
        <is>
          <t>010</t>
        </is>
      </c>
      <c r="S445" s="37" t="n"/>
      <c r="T445" s="37" t="n"/>
      <c r="U445" s="37" t="n"/>
      <c r="V445" s="38" t="n"/>
      <c r="W445" s="28" t="inlineStr">
        <is>
          <t>Moins de 20 ans</t>
        </is>
      </c>
      <c r="X445" s="37" t="n"/>
      <c r="Y445" s="37" t="n"/>
      <c r="Z445" s="38" t="n"/>
      <c r="AA445" s="29" t="n">
        <v>235</v>
      </c>
      <c r="AB445" s="37" t="n"/>
      <c r="AC445" s="37" t="n"/>
      <c r="AD445" s="37" t="n"/>
      <c r="AE445" s="37" t="n"/>
      <c r="AF445" s="38" t="n"/>
      <c r="AG445" s="29" t="n">
        <v>235</v>
      </c>
      <c r="AH445" s="37" t="n"/>
      <c r="AI445" s="38" t="n"/>
    </row>
    <row r="446" ht="17.1" customHeight="1" s="36">
      <c r="O446" s="28" t="inlineStr">
        <is>
          <t>INSMALT001</t>
        </is>
      </c>
      <c r="P446" s="37" t="n"/>
      <c r="Q446" s="38" t="n"/>
      <c r="R446" s="28" t="inlineStr">
        <is>
          <t>010</t>
        </is>
      </c>
      <c r="S446" s="37" t="n"/>
      <c r="T446" s="37" t="n"/>
      <c r="U446" s="37" t="n"/>
      <c r="V446" s="38" t="n"/>
      <c r="W446" s="28" t="inlineStr">
        <is>
          <t>21 ans 40 ans</t>
        </is>
      </c>
      <c r="X446" s="37" t="n"/>
      <c r="Y446" s="37" t="n"/>
      <c r="Z446" s="38" t="n"/>
      <c r="AA446" s="29" t="n">
        <v>343</v>
      </c>
      <c r="AB446" s="37" t="n"/>
      <c r="AC446" s="37" t="n"/>
      <c r="AD446" s="37" t="n"/>
      <c r="AE446" s="37" t="n"/>
      <c r="AF446" s="38" t="n"/>
      <c r="AG446" s="29" t="n">
        <v>343</v>
      </c>
      <c r="AH446" s="37" t="n"/>
      <c r="AI446" s="38" t="n"/>
    </row>
    <row r="447" ht="17.1" customHeight="1" s="36">
      <c r="O447" s="28" t="inlineStr">
        <is>
          <t>INSMALT001</t>
        </is>
      </c>
      <c r="P447" s="37" t="n"/>
      <c r="Q447" s="38" t="n"/>
      <c r="R447" s="28" t="inlineStr">
        <is>
          <t>010</t>
        </is>
      </c>
      <c r="S447" s="37" t="n"/>
      <c r="T447" s="37" t="n"/>
      <c r="U447" s="37" t="n"/>
      <c r="V447" s="38" t="n"/>
      <c r="W447" s="28" t="inlineStr">
        <is>
          <t>41 ans 60 ans</t>
        </is>
      </c>
      <c r="X447" s="37" t="n"/>
      <c r="Y447" s="37" t="n"/>
      <c r="Z447" s="38" t="n"/>
      <c r="AA447" s="29" t="n">
        <v>523</v>
      </c>
      <c r="AB447" s="37" t="n"/>
      <c r="AC447" s="37" t="n"/>
      <c r="AD447" s="37" t="n"/>
      <c r="AE447" s="37" t="n"/>
      <c r="AF447" s="38" t="n"/>
      <c r="AG447" s="29" t="n">
        <v>523</v>
      </c>
      <c r="AH447" s="37" t="n"/>
      <c r="AI447" s="38" t="n"/>
    </row>
    <row r="448" ht="17.1" customHeight="1" s="36">
      <c r="O448" s="28" t="inlineStr">
        <is>
          <t>INSMALT001</t>
        </is>
      </c>
      <c r="P448" s="37" t="n"/>
      <c r="Q448" s="38" t="n"/>
      <c r="R448" s="28" t="inlineStr">
        <is>
          <t>010</t>
        </is>
      </c>
      <c r="S448" s="37" t="n"/>
      <c r="T448" s="37" t="n"/>
      <c r="U448" s="37" t="n"/>
      <c r="V448" s="38" t="n"/>
      <c r="W448" s="28" t="inlineStr">
        <is>
          <t>61 ans 80 ans</t>
        </is>
      </c>
      <c r="X448" s="37" t="n"/>
      <c r="Y448" s="37" t="n"/>
      <c r="Z448" s="38" t="n"/>
      <c r="AA448" s="29" t="n">
        <v>23209</v>
      </c>
      <c r="AB448" s="37" t="n"/>
      <c r="AC448" s="37" t="n"/>
      <c r="AD448" s="37" t="n"/>
      <c r="AE448" s="37" t="n"/>
      <c r="AF448" s="38" t="n"/>
      <c r="AG448" s="29" t="n">
        <v>23209</v>
      </c>
      <c r="AH448" s="37" t="n"/>
      <c r="AI448" s="38" t="n"/>
    </row>
    <row r="449" ht="17.1" customHeight="1" s="36">
      <c r="O449" s="28" t="inlineStr">
        <is>
          <t>INSMALT001</t>
        </is>
      </c>
      <c r="P449" s="37" t="n"/>
      <c r="Q449" s="38" t="n"/>
      <c r="R449" s="28" t="inlineStr">
        <is>
          <t>010</t>
        </is>
      </c>
      <c r="S449" s="37" t="n"/>
      <c r="T449" s="37" t="n"/>
      <c r="U449" s="37" t="n"/>
      <c r="V449" s="38" t="n"/>
      <c r="W449" s="28" t="inlineStr">
        <is>
          <t>Plus de 80 ans</t>
        </is>
      </c>
      <c r="X449" s="37" t="n"/>
      <c r="Y449" s="37" t="n"/>
      <c r="Z449" s="38" t="n"/>
      <c r="AA449" s="29" t="n">
        <v>2503</v>
      </c>
      <c r="AB449" s="37" t="n"/>
      <c r="AC449" s="37" t="n"/>
      <c r="AD449" s="37" t="n"/>
      <c r="AE449" s="37" t="n"/>
      <c r="AF449" s="38" t="n"/>
      <c r="AG449" s="29" t="n">
        <v>2503</v>
      </c>
      <c r="AH449" s="37" t="n"/>
      <c r="AI449" s="38" t="n"/>
    </row>
    <row r="450" ht="17.1" customHeight="1" s="36">
      <c r="O450" s="28" t="inlineStr">
        <is>
          <t>INSMAS001</t>
        </is>
      </c>
      <c r="P450" s="37" t="n"/>
      <c r="Q450" s="38" t="n"/>
      <c r="R450" s="28" t="inlineStr">
        <is>
          <t>010</t>
        </is>
      </c>
      <c r="S450" s="37" t="n"/>
      <c r="T450" s="37" t="n"/>
      <c r="U450" s="37" t="n"/>
      <c r="V450" s="38" t="n"/>
      <c r="W450" s="28" t="inlineStr">
        <is>
          <t>Moins de 20 ans</t>
        </is>
      </c>
      <c r="X450" s="37" t="n"/>
      <c r="Y450" s="37" t="n"/>
      <c r="Z450" s="38" t="n"/>
      <c r="AA450" s="29" t="n">
        <v>3</v>
      </c>
      <c r="AB450" s="37" t="n"/>
      <c r="AC450" s="37" t="n"/>
      <c r="AD450" s="37" t="n"/>
      <c r="AE450" s="37" t="n"/>
      <c r="AF450" s="38" t="n"/>
      <c r="AG450" s="29" t="n">
        <v>3</v>
      </c>
      <c r="AH450" s="37" t="n"/>
      <c r="AI450" s="38" t="n"/>
    </row>
    <row r="451" ht="17.1" customHeight="1" s="36">
      <c r="O451" s="28" t="inlineStr">
        <is>
          <t>INSMAS001</t>
        </is>
      </c>
      <c r="P451" s="37" t="n"/>
      <c r="Q451" s="38" t="n"/>
      <c r="R451" s="28" t="inlineStr">
        <is>
          <t>010</t>
        </is>
      </c>
      <c r="S451" s="37" t="n"/>
      <c r="T451" s="37" t="n"/>
      <c r="U451" s="37" t="n"/>
      <c r="V451" s="38" t="n"/>
      <c r="W451" s="28" t="inlineStr">
        <is>
          <t>21 ans 40 ans</t>
        </is>
      </c>
      <c r="X451" s="37" t="n"/>
      <c r="Y451" s="37" t="n"/>
      <c r="Z451" s="38" t="n"/>
      <c r="AA451" s="29" t="n">
        <v>6</v>
      </c>
      <c r="AB451" s="37" t="n"/>
      <c r="AC451" s="37" t="n"/>
      <c r="AD451" s="37" t="n"/>
      <c r="AE451" s="37" t="n"/>
      <c r="AF451" s="38" t="n"/>
      <c r="AG451" s="29" t="n">
        <v>6</v>
      </c>
      <c r="AH451" s="37" t="n"/>
      <c r="AI451" s="38" t="n"/>
    </row>
    <row r="452" ht="17.1" customHeight="1" s="36">
      <c r="O452" s="28" t="inlineStr">
        <is>
          <t>INSMAS001</t>
        </is>
      </c>
      <c r="P452" s="37" t="n"/>
      <c r="Q452" s="38" t="n"/>
      <c r="R452" s="28" t="inlineStr">
        <is>
          <t>010</t>
        </is>
      </c>
      <c r="S452" s="37" t="n"/>
      <c r="T452" s="37" t="n"/>
      <c r="U452" s="37" t="n"/>
      <c r="V452" s="38" t="n"/>
      <c r="W452" s="28" t="inlineStr">
        <is>
          <t>41 ans 60 ans</t>
        </is>
      </c>
      <c r="X452" s="37" t="n"/>
      <c r="Y452" s="37" t="n"/>
      <c r="Z452" s="38" t="n"/>
      <c r="AA452" s="29" t="n">
        <v>8</v>
      </c>
      <c r="AB452" s="37" t="n"/>
      <c r="AC452" s="37" t="n"/>
      <c r="AD452" s="37" t="n"/>
      <c r="AE452" s="37" t="n"/>
      <c r="AF452" s="38" t="n"/>
      <c r="AG452" s="29" t="n">
        <v>8</v>
      </c>
      <c r="AH452" s="37" t="n"/>
      <c r="AI452" s="38" t="n"/>
    </row>
    <row r="453" ht="17.1" customHeight="1" s="36">
      <c r="O453" s="28" t="inlineStr">
        <is>
          <t>INSMAS001</t>
        </is>
      </c>
      <c r="P453" s="37" t="n"/>
      <c r="Q453" s="38" t="n"/>
      <c r="R453" s="28" t="inlineStr">
        <is>
          <t>010</t>
        </is>
      </c>
      <c r="S453" s="37" t="n"/>
      <c r="T453" s="37" t="n"/>
      <c r="U453" s="37" t="n"/>
      <c r="V453" s="38" t="n"/>
      <c r="W453" s="28" t="inlineStr">
        <is>
          <t>61 ans 80 ans</t>
        </is>
      </c>
      <c r="X453" s="37" t="n"/>
      <c r="Y453" s="37" t="n"/>
      <c r="Z453" s="38" t="n"/>
      <c r="AA453" s="29" t="n">
        <v>5</v>
      </c>
      <c r="AB453" s="37" t="n"/>
      <c r="AC453" s="37" t="n"/>
      <c r="AD453" s="37" t="n"/>
      <c r="AE453" s="37" t="n"/>
      <c r="AF453" s="38" t="n"/>
      <c r="AG453" s="29" t="n">
        <v>5</v>
      </c>
      <c r="AH453" s="37" t="n"/>
      <c r="AI453" s="38" t="n"/>
    </row>
    <row r="454" ht="17.1" customHeight="1" s="36">
      <c r="O454" s="28" t="inlineStr">
        <is>
          <t>INSMIOM001</t>
        </is>
      </c>
      <c r="P454" s="37" t="n"/>
      <c r="Q454" s="38" t="n"/>
      <c r="R454" s="28" t="inlineStr">
        <is>
          <t>010</t>
        </is>
      </c>
      <c r="S454" s="37" t="n"/>
      <c r="T454" s="37" t="n"/>
      <c r="U454" s="37" t="n"/>
      <c r="V454" s="38" t="n"/>
      <c r="W454" s="28" t="inlineStr">
        <is>
          <t>Moins de 20 ans</t>
        </is>
      </c>
      <c r="X454" s="37" t="n"/>
      <c r="Y454" s="37" t="n"/>
      <c r="Z454" s="38" t="n"/>
      <c r="AA454" s="29" t="n">
        <v>119</v>
      </c>
      <c r="AB454" s="37" t="n"/>
      <c r="AC454" s="37" t="n"/>
      <c r="AD454" s="37" t="n"/>
      <c r="AE454" s="37" t="n"/>
      <c r="AF454" s="38" t="n"/>
      <c r="AG454" s="29" t="n">
        <v>121</v>
      </c>
      <c r="AH454" s="37" t="n"/>
      <c r="AI454" s="38" t="n"/>
    </row>
    <row r="455" ht="17.1" customHeight="1" s="36">
      <c r="O455" s="28" t="inlineStr">
        <is>
          <t>INSMIOM001</t>
        </is>
      </c>
      <c r="P455" s="37" t="n"/>
      <c r="Q455" s="38" t="n"/>
      <c r="R455" s="28" t="inlineStr">
        <is>
          <t>010</t>
        </is>
      </c>
      <c r="S455" s="37" t="n"/>
      <c r="T455" s="37" t="n"/>
      <c r="U455" s="37" t="n"/>
      <c r="V455" s="38" t="n"/>
      <c r="W455" s="28" t="inlineStr">
        <is>
          <t>21 ans 40 ans</t>
        </is>
      </c>
      <c r="X455" s="37" t="n"/>
      <c r="Y455" s="37" t="n"/>
      <c r="Z455" s="38" t="n"/>
      <c r="AA455" s="29" t="n">
        <v>54</v>
      </c>
      <c r="AB455" s="37" t="n"/>
      <c r="AC455" s="37" t="n"/>
      <c r="AD455" s="37" t="n"/>
      <c r="AE455" s="37" t="n"/>
      <c r="AF455" s="38" t="n"/>
      <c r="AG455" s="29" t="n">
        <v>56</v>
      </c>
      <c r="AH455" s="37" t="n"/>
      <c r="AI455" s="38" t="n"/>
    </row>
    <row r="456" ht="17.1" customHeight="1" s="36">
      <c r="O456" s="28" t="inlineStr">
        <is>
          <t>INSMIOM001</t>
        </is>
      </c>
      <c r="P456" s="37" t="n"/>
      <c r="Q456" s="38" t="n"/>
      <c r="R456" s="28" t="inlineStr">
        <is>
          <t>010</t>
        </is>
      </c>
      <c r="S456" s="37" t="n"/>
      <c r="T456" s="37" t="n"/>
      <c r="U456" s="37" t="n"/>
      <c r="V456" s="38" t="n"/>
      <c r="W456" s="28" t="inlineStr">
        <is>
          <t>41 ans 60 ans</t>
        </is>
      </c>
      <c r="X456" s="37" t="n"/>
      <c r="Y456" s="37" t="n"/>
      <c r="Z456" s="38" t="n"/>
      <c r="AA456" s="29" t="n">
        <v>339</v>
      </c>
      <c r="AB456" s="37" t="n"/>
      <c r="AC456" s="37" t="n"/>
      <c r="AD456" s="37" t="n"/>
      <c r="AE456" s="37" t="n"/>
      <c r="AF456" s="38" t="n"/>
      <c r="AG456" s="29" t="n">
        <v>345</v>
      </c>
      <c r="AH456" s="37" t="n"/>
      <c r="AI456" s="38" t="n"/>
    </row>
    <row r="457" ht="17.1" customHeight="1" s="36">
      <c r="O457" s="28" t="inlineStr">
        <is>
          <t>INSMIOM001</t>
        </is>
      </c>
      <c r="P457" s="37" t="n"/>
      <c r="Q457" s="38" t="n"/>
      <c r="R457" s="28" t="inlineStr">
        <is>
          <t>010</t>
        </is>
      </c>
      <c r="S457" s="37" t="n"/>
      <c r="T457" s="37" t="n"/>
      <c r="U457" s="37" t="n"/>
      <c r="V457" s="38" t="n"/>
      <c r="W457" s="28" t="inlineStr">
        <is>
          <t>61 ans 80 ans</t>
        </is>
      </c>
      <c r="X457" s="37" t="n"/>
      <c r="Y457" s="37" t="n"/>
      <c r="Z457" s="38" t="n"/>
      <c r="AA457" s="29" t="n">
        <v>20</v>
      </c>
      <c r="AB457" s="37" t="n"/>
      <c r="AC457" s="37" t="n"/>
      <c r="AD457" s="37" t="n"/>
      <c r="AE457" s="37" t="n"/>
      <c r="AF457" s="38" t="n"/>
      <c r="AG457" s="29" t="n">
        <v>20</v>
      </c>
      <c r="AH457" s="37" t="n"/>
      <c r="AI457" s="38" t="n"/>
    </row>
    <row r="458" ht="17.1" customHeight="1" s="36">
      <c r="O458" s="28" t="inlineStr">
        <is>
          <t>INSMTE0001</t>
        </is>
      </c>
      <c r="P458" s="37" t="n"/>
      <c r="Q458" s="38" t="n"/>
      <c r="R458" s="28" t="inlineStr">
        <is>
          <t>010</t>
        </is>
      </c>
      <c r="S458" s="37" t="n"/>
      <c r="T458" s="37" t="n"/>
      <c r="U458" s="37" t="n"/>
      <c r="V458" s="38" t="n"/>
      <c r="W458" s="28" t="inlineStr">
        <is>
          <t>Moins de 20 ans</t>
        </is>
      </c>
      <c r="X458" s="37" t="n"/>
      <c r="Y458" s="37" t="n"/>
      <c r="Z458" s="38" t="n"/>
      <c r="AA458" s="29" t="n">
        <v>2159</v>
      </c>
      <c r="AB458" s="37" t="n"/>
      <c r="AC458" s="37" t="n"/>
      <c r="AD458" s="37" t="n"/>
      <c r="AE458" s="37" t="n"/>
      <c r="AF458" s="38" t="n"/>
      <c r="AG458" s="29" t="n">
        <v>2159</v>
      </c>
      <c r="AH458" s="37" t="n"/>
      <c r="AI458" s="38" t="n"/>
    </row>
    <row r="459" ht="17.1" customHeight="1" s="36">
      <c r="O459" s="28" t="inlineStr">
        <is>
          <t>INSMTE0001</t>
        </is>
      </c>
      <c r="P459" s="37" t="n"/>
      <c r="Q459" s="38" t="n"/>
      <c r="R459" s="28" t="inlineStr">
        <is>
          <t>010</t>
        </is>
      </c>
      <c r="S459" s="37" t="n"/>
      <c r="T459" s="37" t="n"/>
      <c r="U459" s="37" t="n"/>
      <c r="V459" s="38" t="n"/>
      <c r="W459" s="28" t="inlineStr">
        <is>
          <t>21 ans 40 ans</t>
        </is>
      </c>
      <c r="X459" s="37" t="n"/>
      <c r="Y459" s="37" t="n"/>
      <c r="Z459" s="38" t="n"/>
      <c r="AA459" s="29" t="n">
        <v>1281</v>
      </c>
      <c r="AB459" s="37" t="n"/>
      <c r="AC459" s="37" t="n"/>
      <c r="AD459" s="37" t="n"/>
      <c r="AE459" s="37" t="n"/>
      <c r="AF459" s="38" t="n"/>
      <c r="AG459" s="29" t="n">
        <v>1281</v>
      </c>
      <c r="AH459" s="37" t="n"/>
      <c r="AI459" s="38" t="n"/>
    </row>
    <row r="460" ht="17.1" customHeight="1" s="36">
      <c r="O460" s="28" t="inlineStr">
        <is>
          <t>INSMTE0001</t>
        </is>
      </c>
      <c r="P460" s="37" t="n"/>
      <c r="Q460" s="38" t="n"/>
      <c r="R460" s="28" t="inlineStr">
        <is>
          <t>010</t>
        </is>
      </c>
      <c r="S460" s="37" t="n"/>
      <c r="T460" s="37" t="n"/>
      <c r="U460" s="37" t="n"/>
      <c r="V460" s="38" t="n"/>
      <c r="W460" s="28" t="inlineStr">
        <is>
          <t>41 ans 60 ans</t>
        </is>
      </c>
      <c r="X460" s="37" t="n"/>
      <c r="Y460" s="37" t="n"/>
      <c r="Z460" s="38" t="n"/>
      <c r="AA460" s="29" t="n">
        <v>3374</v>
      </c>
      <c r="AB460" s="37" t="n"/>
      <c r="AC460" s="37" t="n"/>
      <c r="AD460" s="37" t="n"/>
      <c r="AE460" s="37" t="n"/>
      <c r="AF460" s="38" t="n"/>
      <c r="AG460" s="29" t="n">
        <v>3374</v>
      </c>
      <c r="AH460" s="37" t="n"/>
      <c r="AI460" s="38" t="n"/>
    </row>
    <row r="461" ht="17.1" customHeight="1" s="36">
      <c r="O461" s="28" t="inlineStr">
        <is>
          <t>INSMTE0001</t>
        </is>
      </c>
      <c r="P461" s="37" t="n"/>
      <c r="Q461" s="38" t="n"/>
      <c r="R461" s="28" t="inlineStr">
        <is>
          <t>010</t>
        </is>
      </c>
      <c r="S461" s="37" t="n"/>
      <c r="T461" s="37" t="n"/>
      <c r="U461" s="37" t="n"/>
      <c r="V461" s="38" t="n"/>
      <c r="W461" s="28" t="inlineStr">
        <is>
          <t>61 ans 80 ans</t>
        </is>
      </c>
      <c r="X461" s="37" t="n"/>
      <c r="Y461" s="37" t="n"/>
      <c r="Z461" s="38" t="n"/>
      <c r="AA461" s="29" t="n">
        <v>461</v>
      </c>
      <c r="AB461" s="37" t="n"/>
      <c r="AC461" s="37" t="n"/>
      <c r="AD461" s="37" t="n"/>
      <c r="AE461" s="37" t="n"/>
      <c r="AF461" s="38" t="n"/>
      <c r="AG461" s="29" t="n">
        <v>461</v>
      </c>
      <c r="AH461" s="37" t="n"/>
      <c r="AI461" s="38" t="n"/>
    </row>
    <row r="462" ht="17.1" customHeight="1" s="36">
      <c r="O462" s="28" t="inlineStr">
        <is>
          <t>INSMTE1001</t>
        </is>
      </c>
      <c r="P462" s="37" t="n"/>
      <c r="Q462" s="38" t="n"/>
      <c r="R462" s="28" t="inlineStr">
        <is>
          <t>010</t>
        </is>
      </c>
      <c r="S462" s="37" t="n"/>
      <c r="T462" s="37" t="n"/>
      <c r="U462" s="37" t="n"/>
      <c r="V462" s="38" t="n"/>
      <c r="W462" s="28" t="inlineStr">
        <is>
          <t>Moins de 20 ans</t>
        </is>
      </c>
      <c r="X462" s="37" t="n"/>
      <c r="Y462" s="37" t="n"/>
      <c r="Z462" s="38" t="n"/>
      <c r="AA462" s="29" t="n">
        <v>6</v>
      </c>
      <c r="AB462" s="37" t="n"/>
      <c r="AC462" s="37" t="n"/>
      <c r="AD462" s="37" t="n"/>
      <c r="AE462" s="37" t="n"/>
      <c r="AF462" s="38" t="n"/>
      <c r="AG462" s="29" t="n">
        <v>6</v>
      </c>
      <c r="AH462" s="37" t="n"/>
      <c r="AI462" s="38" t="n"/>
    </row>
    <row r="463" ht="17.1" customHeight="1" s="36">
      <c r="O463" s="28" t="inlineStr">
        <is>
          <t>INSMTE1001</t>
        </is>
      </c>
      <c r="P463" s="37" t="n"/>
      <c r="Q463" s="38" t="n"/>
      <c r="R463" s="28" t="inlineStr">
        <is>
          <t>010</t>
        </is>
      </c>
      <c r="S463" s="37" t="n"/>
      <c r="T463" s="37" t="n"/>
      <c r="U463" s="37" t="n"/>
      <c r="V463" s="38" t="n"/>
      <c r="W463" s="28" t="inlineStr">
        <is>
          <t>21 ans 40 ans</t>
        </is>
      </c>
      <c r="X463" s="37" t="n"/>
      <c r="Y463" s="37" t="n"/>
      <c r="Z463" s="38" t="n"/>
      <c r="AA463" s="29" t="n">
        <v>3</v>
      </c>
      <c r="AB463" s="37" t="n"/>
      <c r="AC463" s="37" t="n"/>
      <c r="AD463" s="37" t="n"/>
      <c r="AE463" s="37" t="n"/>
      <c r="AF463" s="38" t="n"/>
      <c r="AG463" s="29" t="n">
        <v>3</v>
      </c>
      <c r="AH463" s="37" t="n"/>
      <c r="AI463" s="38" t="n"/>
    </row>
    <row r="464" ht="17.1" customHeight="1" s="36">
      <c r="O464" s="28" t="inlineStr">
        <is>
          <t>INSMTE1001</t>
        </is>
      </c>
      <c r="P464" s="37" t="n"/>
      <c r="Q464" s="38" t="n"/>
      <c r="R464" s="28" t="inlineStr">
        <is>
          <t>010</t>
        </is>
      </c>
      <c r="S464" s="37" t="n"/>
      <c r="T464" s="37" t="n"/>
      <c r="U464" s="37" t="n"/>
      <c r="V464" s="38" t="n"/>
      <c r="W464" s="28" t="inlineStr">
        <is>
          <t>41 ans 60 ans</t>
        </is>
      </c>
      <c r="X464" s="37" t="n"/>
      <c r="Y464" s="37" t="n"/>
      <c r="Z464" s="38" t="n"/>
      <c r="AA464" s="29" t="n">
        <v>11</v>
      </c>
      <c r="AB464" s="37" t="n"/>
      <c r="AC464" s="37" t="n"/>
      <c r="AD464" s="37" t="n"/>
      <c r="AE464" s="37" t="n"/>
      <c r="AF464" s="38" t="n"/>
      <c r="AG464" s="29" t="n">
        <v>11</v>
      </c>
      <c r="AH464" s="37" t="n"/>
      <c r="AI464" s="38" t="n"/>
    </row>
    <row r="465" ht="17.1" customHeight="1" s="36">
      <c r="O465" s="28" t="inlineStr">
        <is>
          <t>INSMTE1001</t>
        </is>
      </c>
      <c r="P465" s="37" t="n"/>
      <c r="Q465" s="38" t="n"/>
      <c r="R465" s="28" t="inlineStr">
        <is>
          <t>010</t>
        </is>
      </c>
      <c r="S465" s="37" t="n"/>
      <c r="T465" s="37" t="n"/>
      <c r="U465" s="37" t="n"/>
      <c r="V465" s="38" t="n"/>
      <c r="W465" s="28" t="inlineStr">
        <is>
          <t>61 ans 80 ans</t>
        </is>
      </c>
      <c r="X465" s="37" t="n"/>
      <c r="Y465" s="37" t="n"/>
      <c r="Z465" s="38" t="n"/>
      <c r="AA465" s="29" t="n">
        <v>38</v>
      </c>
      <c r="AB465" s="37" t="n"/>
      <c r="AC465" s="37" t="n"/>
      <c r="AD465" s="37" t="n"/>
      <c r="AE465" s="37" t="n"/>
      <c r="AF465" s="38" t="n"/>
      <c r="AG465" s="29" t="n">
        <v>38</v>
      </c>
      <c r="AH465" s="37" t="n"/>
      <c r="AI465" s="38" t="n"/>
    </row>
    <row r="466" ht="17.1" customHeight="1" s="36">
      <c r="O466" s="28" t="inlineStr">
        <is>
          <t>INSMTE1001</t>
        </is>
      </c>
      <c r="P466" s="37" t="n"/>
      <c r="Q466" s="38" t="n"/>
      <c r="R466" s="28" t="inlineStr">
        <is>
          <t>010</t>
        </is>
      </c>
      <c r="S466" s="37" t="n"/>
      <c r="T466" s="37" t="n"/>
      <c r="U466" s="37" t="n"/>
      <c r="V466" s="38" t="n"/>
      <c r="W466" s="28" t="inlineStr">
        <is>
          <t>Plus de 80 ans</t>
        </is>
      </c>
      <c r="X466" s="37" t="n"/>
      <c r="Y466" s="37" t="n"/>
      <c r="Z466" s="38" t="n"/>
      <c r="AA466" s="29" t="n">
        <v>7</v>
      </c>
      <c r="AB466" s="37" t="n"/>
      <c r="AC466" s="37" t="n"/>
      <c r="AD466" s="37" t="n"/>
      <c r="AE466" s="37" t="n"/>
      <c r="AF466" s="38" t="n"/>
      <c r="AG466" s="29" t="n">
        <v>7</v>
      </c>
      <c r="AH466" s="37" t="n"/>
      <c r="AI466" s="38" t="n"/>
    </row>
    <row r="467" ht="17.1" customHeight="1" s="36">
      <c r="O467" s="28" t="inlineStr">
        <is>
          <t>MEPCULT003</t>
        </is>
      </c>
      <c r="P467" s="37" t="n"/>
      <c r="Q467" s="38" t="n"/>
      <c r="R467" s="28" t="inlineStr">
        <is>
          <t>010</t>
        </is>
      </c>
      <c r="S467" s="37" t="n"/>
      <c r="T467" s="37" t="n"/>
      <c r="U467" s="37" t="n"/>
      <c r="V467" s="38" t="n"/>
      <c r="W467" s="28" t="inlineStr">
        <is>
          <t>21 ans 40 ans</t>
        </is>
      </c>
      <c r="X467" s="37" t="n"/>
      <c r="Y467" s="37" t="n"/>
      <c r="Z467" s="38" t="n"/>
      <c r="AA467" s="29" t="n">
        <v>69</v>
      </c>
      <c r="AB467" s="37" t="n"/>
      <c r="AC467" s="37" t="n"/>
      <c r="AD467" s="37" t="n"/>
      <c r="AE467" s="37" t="n"/>
      <c r="AF467" s="38" t="n"/>
      <c r="AG467" s="29" t="n">
        <v>70</v>
      </c>
      <c r="AH467" s="37" t="n"/>
      <c r="AI467" s="38" t="n"/>
    </row>
    <row r="468" ht="17.1" customHeight="1" s="36">
      <c r="O468" s="28" t="inlineStr">
        <is>
          <t>MEPCULT003</t>
        </is>
      </c>
      <c r="P468" s="37" t="n"/>
      <c r="Q468" s="38" t="n"/>
      <c r="R468" s="28" t="inlineStr">
        <is>
          <t>010</t>
        </is>
      </c>
      <c r="S468" s="37" t="n"/>
      <c r="T468" s="37" t="n"/>
      <c r="U468" s="37" t="n"/>
      <c r="V468" s="38" t="n"/>
      <c r="W468" s="28" t="inlineStr">
        <is>
          <t>41 ans 60 ans</t>
        </is>
      </c>
      <c r="X468" s="37" t="n"/>
      <c r="Y468" s="37" t="n"/>
      <c r="Z468" s="38" t="n"/>
      <c r="AA468" s="29" t="n">
        <v>628</v>
      </c>
      <c r="AB468" s="37" t="n"/>
      <c r="AC468" s="37" t="n"/>
      <c r="AD468" s="37" t="n"/>
      <c r="AE468" s="37" t="n"/>
      <c r="AF468" s="38" t="n"/>
      <c r="AG468" s="29" t="n">
        <v>637</v>
      </c>
      <c r="AH468" s="37" t="n"/>
      <c r="AI468" s="38" t="n"/>
    </row>
    <row r="469" ht="17.1" customHeight="1" s="36">
      <c r="O469" s="28" t="inlineStr">
        <is>
          <t>MEPCULT003</t>
        </is>
      </c>
      <c r="P469" s="37" t="n"/>
      <c r="Q469" s="38" t="n"/>
      <c r="R469" s="28" t="inlineStr">
        <is>
          <t>010</t>
        </is>
      </c>
      <c r="S469" s="37" t="n"/>
      <c r="T469" s="37" t="n"/>
      <c r="U469" s="37" t="n"/>
      <c r="V469" s="38" t="n"/>
      <c r="W469" s="28" t="inlineStr">
        <is>
          <t>61 ans 80 ans</t>
        </is>
      </c>
      <c r="X469" s="37" t="n"/>
      <c r="Y469" s="37" t="n"/>
      <c r="Z469" s="38" t="n"/>
      <c r="AA469" s="29" t="n">
        <v>145</v>
      </c>
      <c r="AB469" s="37" t="n"/>
      <c r="AC469" s="37" t="n"/>
      <c r="AD469" s="37" t="n"/>
      <c r="AE469" s="37" t="n"/>
      <c r="AF469" s="38" t="n"/>
      <c r="AG469" s="29" t="n">
        <v>147</v>
      </c>
      <c r="AH469" s="37" t="n"/>
      <c r="AI469" s="38" t="n"/>
    </row>
    <row r="470" ht="17.1" customHeight="1" s="36">
      <c r="O470" s="28" t="inlineStr">
        <is>
          <t>MEPMAS001</t>
        </is>
      </c>
      <c r="P470" s="37" t="n"/>
      <c r="Q470" s="38" t="n"/>
      <c r="R470" s="28" t="inlineStr">
        <is>
          <t>073</t>
        </is>
      </c>
      <c r="S470" s="37" t="n"/>
      <c r="T470" s="37" t="n"/>
      <c r="U470" s="37" t="n"/>
      <c r="V470" s="38" t="n"/>
      <c r="W470" s="28" t="inlineStr">
        <is>
          <t>21 ans 40 ans</t>
        </is>
      </c>
      <c r="X470" s="37" t="n"/>
      <c r="Y470" s="37" t="n"/>
      <c r="Z470" s="38" t="n"/>
      <c r="AA470" s="29" t="n">
        <v>90</v>
      </c>
      <c r="AB470" s="37" t="n"/>
      <c r="AC470" s="37" t="n"/>
      <c r="AD470" s="37" t="n"/>
      <c r="AE470" s="37" t="n"/>
      <c r="AF470" s="38" t="n"/>
      <c r="AG470" s="29" t="n">
        <v>92</v>
      </c>
      <c r="AH470" s="37" t="n"/>
      <c r="AI470" s="38" t="n"/>
    </row>
    <row r="471" ht="17.1" customHeight="1" s="36">
      <c r="O471" s="28" t="inlineStr">
        <is>
          <t>MEPMAS001</t>
        </is>
      </c>
      <c r="P471" s="37" t="n"/>
      <c r="Q471" s="38" t="n"/>
      <c r="R471" s="28" t="inlineStr">
        <is>
          <t>073</t>
        </is>
      </c>
      <c r="S471" s="37" t="n"/>
      <c r="T471" s="37" t="n"/>
      <c r="U471" s="37" t="n"/>
      <c r="V471" s="38" t="n"/>
      <c r="W471" s="28" t="inlineStr">
        <is>
          <t>41 ans 60 ans</t>
        </is>
      </c>
      <c r="X471" s="37" t="n"/>
      <c r="Y471" s="37" t="n"/>
      <c r="Z471" s="38" t="n"/>
      <c r="AA471" s="29" t="n">
        <v>617</v>
      </c>
      <c r="AB471" s="37" t="n"/>
      <c r="AC471" s="37" t="n"/>
      <c r="AD471" s="37" t="n"/>
      <c r="AE471" s="37" t="n"/>
      <c r="AF471" s="38" t="n"/>
      <c r="AG471" s="29" t="n">
        <v>627</v>
      </c>
      <c r="AH471" s="37" t="n"/>
      <c r="AI471" s="38" t="n"/>
    </row>
    <row r="472" ht="17.1" customHeight="1" s="36">
      <c r="O472" s="28" t="inlineStr">
        <is>
          <t>MEPMAS001</t>
        </is>
      </c>
      <c r="P472" s="37" t="n"/>
      <c r="Q472" s="38" t="n"/>
      <c r="R472" s="28" t="inlineStr">
        <is>
          <t>073</t>
        </is>
      </c>
      <c r="S472" s="37" t="n"/>
      <c r="T472" s="37" t="n"/>
      <c r="U472" s="37" t="n"/>
      <c r="V472" s="38" t="n"/>
      <c r="W472" s="28" t="inlineStr">
        <is>
          <t>61 ans 80 ans</t>
        </is>
      </c>
      <c r="X472" s="37" t="n"/>
      <c r="Y472" s="37" t="n"/>
      <c r="Z472" s="38" t="n"/>
      <c r="AA472" s="29" t="n">
        <v>92</v>
      </c>
      <c r="AB472" s="37" t="n"/>
      <c r="AC472" s="37" t="n"/>
      <c r="AD472" s="37" t="n"/>
      <c r="AE472" s="37" t="n"/>
      <c r="AF472" s="38" t="n"/>
      <c r="AG472" s="29" t="n">
        <v>93</v>
      </c>
      <c r="AH472" s="37" t="n"/>
      <c r="AI472" s="38" t="n"/>
    </row>
    <row r="473" ht="17.1" customHeight="1" s="36">
      <c r="O473" s="28" t="inlineStr">
        <is>
          <t>MEPMEAE001</t>
        </is>
      </c>
      <c r="P473" s="37" t="n"/>
      <c r="Q473" s="38" t="n"/>
      <c r="R473" s="28" t="inlineStr">
        <is>
          <t>010</t>
        </is>
      </c>
      <c r="S473" s="37" t="n"/>
      <c r="T473" s="37" t="n"/>
      <c r="U473" s="37" t="n"/>
      <c r="V473" s="38" t="n"/>
      <c r="W473" s="28" t="inlineStr">
        <is>
          <t>21 ans 40 ans</t>
        </is>
      </c>
      <c r="X473" s="37" t="n"/>
      <c r="Y473" s="37" t="n"/>
      <c r="Z473" s="38" t="n"/>
      <c r="AA473" s="29" t="n">
        <v>43</v>
      </c>
      <c r="AB473" s="37" t="n"/>
      <c r="AC473" s="37" t="n"/>
      <c r="AD473" s="37" t="n"/>
      <c r="AE473" s="37" t="n"/>
      <c r="AF473" s="38" t="n"/>
      <c r="AG473" s="29" t="n">
        <v>44</v>
      </c>
      <c r="AH473" s="37" t="n"/>
      <c r="AI473" s="38" t="n"/>
    </row>
    <row r="474" ht="17.1" customHeight="1" s="36">
      <c r="O474" s="28" t="inlineStr">
        <is>
          <t>MEPMEAE001</t>
        </is>
      </c>
      <c r="P474" s="37" t="n"/>
      <c r="Q474" s="38" t="n"/>
      <c r="R474" s="28" t="inlineStr">
        <is>
          <t>010</t>
        </is>
      </c>
      <c r="S474" s="37" t="n"/>
      <c r="T474" s="37" t="n"/>
      <c r="U474" s="37" t="n"/>
      <c r="V474" s="38" t="n"/>
      <c r="W474" s="28" t="inlineStr">
        <is>
          <t>41 ans 60 ans</t>
        </is>
      </c>
      <c r="X474" s="37" t="n"/>
      <c r="Y474" s="37" t="n"/>
      <c r="Z474" s="38" t="n"/>
      <c r="AA474" s="29" t="n">
        <v>355</v>
      </c>
      <c r="AB474" s="37" t="n"/>
      <c r="AC474" s="37" t="n"/>
      <c r="AD474" s="37" t="n"/>
      <c r="AE474" s="37" t="n"/>
      <c r="AF474" s="38" t="n"/>
      <c r="AG474" s="29" t="n">
        <v>359</v>
      </c>
      <c r="AH474" s="37" t="n"/>
      <c r="AI474" s="38" t="n"/>
    </row>
    <row r="475" ht="17.1" customHeight="1" s="36">
      <c r="O475" s="28" t="inlineStr">
        <is>
          <t>MEPMEAE001</t>
        </is>
      </c>
      <c r="P475" s="37" t="n"/>
      <c r="Q475" s="38" t="n"/>
      <c r="R475" s="28" t="inlineStr">
        <is>
          <t>010</t>
        </is>
      </c>
      <c r="S475" s="37" t="n"/>
      <c r="T475" s="37" t="n"/>
      <c r="U475" s="37" t="n"/>
      <c r="V475" s="38" t="n"/>
      <c r="W475" s="28" t="inlineStr">
        <is>
          <t>61 ans 80 ans</t>
        </is>
      </c>
      <c r="X475" s="37" t="n"/>
      <c r="Y475" s="37" t="n"/>
      <c r="Z475" s="38" t="n"/>
      <c r="AA475" s="29" t="n">
        <v>56</v>
      </c>
      <c r="AB475" s="37" t="n"/>
      <c r="AC475" s="37" t="n"/>
      <c r="AD475" s="37" t="n"/>
      <c r="AE475" s="37" t="n"/>
      <c r="AF475" s="38" t="n"/>
      <c r="AG475" s="29" t="n">
        <v>56</v>
      </c>
      <c r="AH475" s="37" t="n"/>
      <c r="AI475" s="38" t="n"/>
    </row>
    <row r="476" ht="17.1" customHeight="1" s="36">
      <c r="O476" s="28" t="inlineStr">
        <is>
          <t>MEPMEAT002</t>
        </is>
      </c>
      <c r="P476" s="37" t="n"/>
      <c r="Q476" s="38" t="n"/>
      <c r="R476" s="28" t="inlineStr">
        <is>
          <t>010</t>
        </is>
      </c>
      <c r="S476" s="37" t="n"/>
      <c r="T476" s="37" t="n"/>
      <c r="U476" s="37" t="n"/>
      <c r="V476" s="38" t="n"/>
      <c r="W476" s="28" t="inlineStr">
        <is>
          <t>21 ans 40 ans</t>
        </is>
      </c>
      <c r="X476" s="37" t="n"/>
      <c r="Y476" s="37" t="n"/>
      <c r="Z476" s="38" t="n"/>
      <c r="AA476" s="29" t="n">
        <v>49</v>
      </c>
      <c r="AB476" s="37" t="n"/>
      <c r="AC476" s="37" t="n"/>
      <c r="AD476" s="37" t="n"/>
      <c r="AE476" s="37" t="n"/>
      <c r="AF476" s="38" t="n"/>
      <c r="AG476" s="29" t="n">
        <v>51</v>
      </c>
      <c r="AH476" s="37" t="n"/>
      <c r="AI476" s="38" t="n"/>
    </row>
    <row r="477" ht="17.1" customHeight="1" s="36">
      <c r="O477" s="28" t="inlineStr">
        <is>
          <t>MEPMEAT002</t>
        </is>
      </c>
      <c r="P477" s="37" t="n"/>
      <c r="Q477" s="38" t="n"/>
      <c r="R477" s="28" t="inlineStr">
        <is>
          <t>010</t>
        </is>
      </c>
      <c r="S477" s="37" t="n"/>
      <c r="T477" s="37" t="n"/>
      <c r="U477" s="37" t="n"/>
      <c r="V477" s="38" t="n"/>
      <c r="W477" s="28" t="inlineStr">
        <is>
          <t>41 ans 60 ans</t>
        </is>
      </c>
      <c r="X477" s="37" t="n"/>
      <c r="Y477" s="37" t="n"/>
      <c r="Z477" s="38" t="n"/>
      <c r="AA477" s="29" t="n">
        <v>704</v>
      </c>
      <c r="AB477" s="37" t="n"/>
      <c r="AC477" s="37" t="n"/>
      <c r="AD477" s="37" t="n"/>
      <c r="AE477" s="37" t="n"/>
      <c r="AF477" s="38" t="n"/>
      <c r="AG477" s="29" t="n">
        <v>719</v>
      </c>
      <c r="AH477" s="37" t="n"/>
      <c r="AI477" s="38" t="n"/>
    </row>
    <row r="478" ht="17.1" customHeight="1" s="36">
      <c r="O478" s="28" t="inlineStr">
        <is>
          <t>MEPMEAT002</t>
        </is>
      </c>
      <c r="P478" s="37" t="n"/>
      <c r="Q478" s="38" t="n"/>
      <c r="R478" s="28" t="inlineStr">
        <is>
          <t>010</t>
        </is>
      </c>
      <c r="S478" s="37" t="n"/>
      <c r="T478" s="37" t="n"/>
      <c r="U478" s="37" t="n"/>
      <c r="V478" s="38" t="n"/>
      <c r="W478" s="28" t="inlineStr">
        <is>
          <t>61 ans 80 ans</t>
        </is>
      </c>
      <c r="X478" s="37" t="n"/>
      <c r="Y478" s="37" t="n"/>
      <c r="Z478" s="38" t="n"/>
      <c r="AA478" s="29" t="n">
        <v>82</v>
      </c>
      <c r="AB478" s="37" t="n"/>
      <c r="AC478" s="37" t="n"/>
      <c r="AD478" s="37" t="n"/>
      <c r="AE478" s="37" t="n"/>
      <c r="AF478" s="38" t="n"/>
      <c r="AG478" s="29" t="n">
        <v>83</v>
      </c>
      <c r="AH478" s="37" t="n"/>
      <c r="AI478" s="38" t="n"/>
    </row>
    <row r="479" ht="17.1" customHeight="1" s="36">
      <c r="O479" s="28" t="inlineStr">
        <is>
          <t>MEPMENP002</t>
        </is>
      </c>
      <c r="P479" s="37" t="n"/>
      <c r="Q479" s="38" t="n"/>
      <c r="R479" s="28" t="inlineStr">
        <is>
          <t>010</t>
        </is>
      </c>
      <c r="S479" s="37" t="n"/>
      <c r="T479" s="37" t="n"/>
      <c r="U479" s="37" t="n"/>
      <c r="V479" s="38" t="n"/>
      <c r="W479" s="28" t="inlineStr">
        <is>
          <t>Moins de 20 ans</t>
        </is>
      </c>
      <c r="X479" s="37" t="n"/>
      <c r="Y479" s="37" t="n"/>
      <c r="Z479" s="38" t="n"/>
      <c r="AA479" s="29" t="n">
        <v>3</v>
      </c>
      <c r="AB479" s="37" t="n"/>
      <c r="AC479" s="37" t="n"/>
      <c r="AD479" s="37" t="n"/>
      <c r="AE479" s="37" t="n"/>
      <c r="AF479" s="38" t="n"/>
      <c r="AG479" s="29" t="n">
        <v>4</v>
      </c>
      <c r="AH479" s="37" t="n"/>
      <c r="AI479" s="38" t="n"/>
    </row>
    <row r="480" ht="17.1" customHeight="1" s="36">
      <c r="O480" s="28" t="inlineStr">
        <is>
          <t>MEPMENP002</t>
        </is>
      </c>
      <c r="P480" s="37" t="n"/>
      <c r="Q480" s="38" t="n"/>
      <c r="R480" s="28" t="inlineStr">
        <is>
          <t>010</t>
        </is>
      </c>
      <c r="S480" s="37" t="n"/>
      <c r="T480" s="37" t="n"/>
      <c r="U480" s="37" t="n"/>
      <c r="V480" s="38" t="n"/>
      <c r="W480" s="28" t="inlineStr">
        <is>
          <t>21 ans 40 ans</t>
        </is>
      </c>
      <c r="X480" s="37" t="n"/>
      <c r="Y480" s="37" t="n"/>
      <c r="Z480" s="38" t="n"/>
      <c r="AA480" s="29" t="n">
        <v>4200</v>
      </c>
      <c r="AB480" s="37" t="n"/>
      <c r="AC480" s="37" t="n"/>
      <c r="AD480" s="37" t="n"/>
      <c r="AE480" s="37" t="n"/>
      <c r="AF480" s="38" t="n"/>
      <c r="AG480" s="29" t="n">
        <v>4424</v>
      </c>
      <c r="AH480" s="37" t="n"/>
      <c r="AI480" s="38" t="n"/>
    </row>
    <row r="481" ht="17.1" customHeight="1" s="36">
      <c r="O481" s="28" t="inlineStr">
        <is>
          <t>MEPMENP002</t>
        </is>
      </c>
      <c r="P481" s="37" t="n"/>
      <c r="Q481" s="38" t="n"/>
      <c r="R481" s="28" t="inlineStr">
        <is>
          <t>010</t>
        </is>
      </c>
      <c r="S481" s="37" t="n"/>
      <c r="T481" s="37" t="n"/>
      <c r="U481" s="37" t="n"/>
      <c r="V481" s="38" t="n"/>
      <c r="W481" s="28" t="inlineStr">
        <is>
          <t>41 ans 60 ans</t>
        </is>
      </c>
      <c r="X481" s="37" t="n"/>
      <c r="Y481" s="37" t="n"/>
      <c r="Z481" s="38" t="n"/>
      <c r="AA481" s="29" t="n">
        <v>75040</v>
      </c>
      <c r="AB481" s="37" t="n"/>
      <c r="AC481" s="37" t="n"/>
      <c r="AD481" s="37" t="n"/>
      <c r="AE481" s="37" t="n"/>
      <c r="AF481" s="38" t="n"/>
      <c r="AG481" s="29" t="n">
        <v>78838</v>
      </c>
      <c r="AH481" s="37" t="n"/>
      <c r="AI481" s="38" t="n"/>
    </row>
    <row r="482" ht="17.1" customHeight="1" s="36">
      <c r="O482" s="28" t="inlineStr">
        <is>
          <t>MEPMENP002</t>
        </is>
      </c>
      <c r="P482" s="37" t="n"/>
      <c r="Q482" s="38" t="n"/>
      <c r="R482" s="28" t="inlineStr">
        <is>
          <t>010</t>
        </is>
      </c>
      <c r="S482" s="37" t="n"/>
      <c r="T482" s="37" t="n"/>
      <c r="U482" s="37" t="n"/>
      <c r="V482" s="38" t="n"/>
      <c r="W482" s="28" t="inlineStr">
        <is>
          <t>61 ans 80 ans</t>
        </is>
      </c>
      <c r="X482" s="37" t="n"/>
      <c r="Y482" s="37" t="n"/>
      <c r="Z482" s="38" t="n"/>
      <c r="AA482" s="29" t="n">
        <v>12073</v>
      </c>
      <c r="AB482" s="37" t="n"/>
      <c r="AC482" s="37" t="n"/>
      <c r="AD482" s="37" t="n"/>
      <c r="AE482" s="37" t="n"/>
      <c r="AF482" s="38" t="n"/>
      <c r="AG482" s="29" t="n">
        <v>12786</v>
      </c>
      <c r="AH482" s="37" t="n"/>
      <c r="AI482" s="38" t="n"/>
    </row>
    <row r="483" ht="17.1" customHeight="1" s="36">
      <c r="O483" s="28" t="inlineStr">
        <is>
          <t>MEPMENP201</t>
        </is>
      </c>
      <c r="P483" s="37" t="n"/>
      <c r="Q483" s="38" t="n"/>
      <c r="R483" s="28" t="inlineStr">
        <is>
          <t>010</t>
        </is>
      </c>
      <c r="S483" s="37" t="n"/>
      <c r="T483" s="37" t="n"/>
      <c r="U483" s="37" t="n"/>
      <c r="V483" s="38" t="n"/>
      <c r="W483" s="28" t="inlineStr">
        <is>
          <t>21 ans 40 ans</t>
        </is>
      </c>
      <c r="X483" s="37" t="n"/>
      <c r="Y483" s="37" t="n"/>
      <c r="Z483" s="38" t="n"/>
      <c r="AA483" s="29" t="n">
        <v>21</v>
      </c>
      <c r="AB483" s="37" t="n"/>
      <c r="AC483" s="37" t="n"/>
      <c r="AD483" s="37" t="n"/>
      <c r="AE483" s="37" t="n"/>
      <c r="AF483" s="38" t="n"/>
      <c r="AG483" s="29" t="n">
        <v>21</v>
      </c>
      <c r="AH483" s="37" t="n"/>
      <c r="AI483" s="38" t="n"/>
    </row>
    <row r="484" ht="17.1" customHeight="1" s="36">
      <c r="O484" s="28" t="inlineStr">
        <is>
          <t>MEPMENP201</t>
        </is>
      </c>
      <c r="P484" s="37" t="n"/>
      <c r="Q484" s="38" t="n"/>
      <c r="R484" s="28" t="inlineStr">
        <is>
          <t>010</t>
        </is>
      </c>
      <c r="S484" s="37" t="n"/>
      <c r="T484" s="37" t="n"/>
      <c r="U484" s="37" t="n"/>
      <c r="V484" s="38" t="n"/>
      <c r="W484" s="28" t="inlineStr">
        <is>
          <t>41 ans 60 ans</t>
        </is>
      </c>
      <c r="X484" s="37" t="n"/>
      <c r="Y484" s="37" t="n"/>
      <c r="Z484" s="38" t="n"/>
      <c r="AA484" s="29" t="n">
        <v>208</v>
      </c>
      <c r="AB484" s="37" t="n"/>
      <c r="AC484" s="37" t="n"/>
      <c r="AD484" s="37" t="n"/>
      <c r="AE484" s="37" t="n"/>
      <c r="AF484" s="38" t="n"/>
      <c r="AG484" s="29" t="n">
        <v>219</v>
      </c>
      <c r="AH484" s="37" t="n"/>
      <c r="AI484" s="38" t="n"/>
    </row>
    <row r="485" ht="17.1" customHeight="1" s="36">
      <c r="O485" s="28" t="inlineStr">
        <is>
          <t>MEPMENP201</t>
        </is>
      </c>
      <c r="P485" s="37" t="n"/>
      <c r="Q485" s="38" t="n"/>
      <c r="R485" s="28" t="inlineStr">
        <is>
          <t>010</t>
        </is>
      </c>
      <c r="S485" s="37" t="n"/>
      <c r="T485" s="37" t="n"/>
      <c r="U485" s="37" t="n"/>
      <c r="V485" s="38" t="n"/>
      <c r="W485" s="28" t="inlineStr">
        <is>
          <t>61 ans 80 ans</t>
        </is>
      </c>
      <c r="X485" s="37" t="n"/>
      <c r="Y485" s="37" t="n"/>
      <c r="Z485" s="38" t="n"/>
      <c r="AA485" s="29" t="n">
        <v>34</v>
      </c>
      <c r="AB485" s="37" t="n"/>
      <c r="AC485" s="37" t="n"/>
      <c r="AD485" s="37" t="n"/>
      <c r="AE485" s="37" t="n"/>
      <c r="AF485" s="38" t="n"/>
      <c r="AG485" s="29" t="n">
        <v>34</v>
      </c>
      <c r="AH485" s="37" t="n"/>
      <c r="AI485" s="38" t="n"/>
    </row>
    <row r="486" ht="17.1" customHeight="1" s="36">
      <c r="O486" s="28" t="inlineStr">
        <is>
          <t>MESAPEI002</t>
        </is>
      </c>
      <c r="P486" s="37" t="n"/>
      <c r="Q486" s="38" t="n"/>
      <c r="R486" s="28" t="inlineStr">
        <is>
          <t>052</t>
        </is>
      </c>
      <c r="S486" s="37" t="n"/>
      <c r="T486" s="37" t="n"/>
      <c r="U486" s="37" t="n"/>
      <c r="V486" s="38" t="n"/>
      <c r="W486" s="28" t="inlineStr">
        <is>
          <t>Moins de 20 ans</t>
        </is>
      </c>
      <c r="X486" s="37" t="n"/>
      <c r="Y486" s="37" t="n"/>
      <c r="Z486" s="38" t="n"/>
      <c r="AA486" s="29" t="n">
        <v>181</v>
      </c>
      <c r="AB486" s="37" t="n"/>
      <c r="AC486" s="37" t="n"/>
      <c r="AD486" s="37" t="n"/>
      <c r="AE486" s="37" t="n"/>
      <c r="AF486" s="38" t="n"/>
      <c r="AG486" s="29" t="n">
        <v>182</v>
      </c>
      <c r="AH486" s="37" t="n"/>
      <c r="AI486" s="38" t="n"/>
    </row>
    <row r="487" ht="17.1" customHeight="1" s="36">
      <c r="O487" s="28" t="inlineStr">
        <is>
          <t>MESAPEI002</t>
        </is>
      </c>
      <c r="P487" s="37" t="n"/>
      <c r="Q487" s="38" t="n"/>
      <c r="R487" s="28" t="inlineStr">
        <is>
          <t>052</t>
        </is>
      </c>
      <c r="S487" s="37" t="n"/>
      <c r="T487" s="37" t="n"/>
      <c r="U487" s="37" t="n"/>
      <c r="V487" s="38" t="n"/>
      <c r="W487" s="28" t="inlineStr">
        <is>
          <t>21 ans 40 ans</t>
        </is>
      </c>
      <c r="X487" s="37" t="n"/>
      <c r="Y487" s="37" t="n"/>
      <c r="Z487" s="38" t="n"/>
      <c r="AA487" s="29" t="n">
        <v>199</v>
      </c>
      <c r="AB487" s="37" t="n"/>
      <c r="AC487" s="37" t="n"/>
      <c r="AD487" s="37" t="n"/>
      <c r="AE487" s="37" t="n"/>
      <c r="AF487" s="38" t="n"/>
      <c r="AG487" s="29" t="n">
        <v>199</v>
      </c>
      <c r="AH487" s="37" t="n"/>
      <c r="AI487" s="38" t="n"/>
    </row>
    <row r="488" ht="17.1" customHeight="1" s="36">
      <c r="O488" s="28" t="inlineStr">
        <is>
          <t>MESAPEI002</t>
        </is>
      </c>
      <c r="P488" s="37" t="n"/>
      <c r="Q488" s="38" t="n"/>
      <c r="R488" s="28" t="inlineStr">
        <is>
          <t>052</t>
        </is>
      </c>
      <c r="S488" s="37" t="n"/>
      <c r="T488" s="37" t="n"/>
      <c r="U488" s="37" t="n"/>
      <c r="V488" s="38" t="n"/>
      <c r="W488" s="28" t="inlineStr">
        <is>
          <t>41 ans 60 ans</t>
        </is>
      </c>
      <c r="X488" s="37" t="n"/>
      <c r="Y488" s="37" t="n"/>
      <c r="Z488" s="38" t="n"/>
      <c r="AA488" s="29" t="n">
        <v>276</v>
      </c>
      <c r="AB488" s="37" t="n"/>
      <c r="AC488" s="37" t="n"/>
      <c r="AD488" s="37" t="n"/>
      <c r="AE488" s="37" t="n"/>
      <c r="AF488" s="38" t="n"/>
      <c r="AG488" s="29" t="n">
        <v>276</v>
      </c>
      <c r="AH488" s="37" t="n"/>
      <c r="AI488" s="38" t="n"/>
    </row>
    <row r="489" ht="17.1" customHeight="1" s="36">
      <c r="O489" s="28" t="inlineStr">
        <is>
          <t>MESAPEI002</t>
        </is>
      </c>
      <c r="P489" s="37" t="n"/>
      <c r="Q489" s="38" t="n"/>
      <c r="R489" s="28" t="inlineStr">
        <is>
          <t>052</t>
        </is>
      </c>
      <c r="S489" s="37" t="n"/>
      <c r="T489" s="37" t="n"/>
      <c r="U489" s="37" t="n"/>
      <c r="V489" s="38" t="n"/>
      <c r="W489" s="28" t="inlineStr">
        <is>
          <t>61 ans 80 ans</t>
        </is>
      </c>
      <c r="X489" s="37" t="n"/>
      <c r="Y489" s="37" t="n"/>
      <c r="Z489" s="38" t="n"/>
      <c r="AA489" s="29" t="n">
        <v>65</v>
      </c>
      <c r="AB489" s="37" t="n"/>
      <c r="AC489" s="37" t="n"/>
      <c r="AD489" s="37" t="n"/>
      <c r="AE489" s="37" t="n"/>
      <c r="AF489" s="38" t="n"/>
      <c r="AG489" s="29" t="n">
        <v>65</v>
      </c>
      <c r="AH489" s="37" t="n"/>
      <c r="AI489" s="38" t="n"/>
    </row>
    <row r="490" ht="17.1" customHeight="1" s="36">
      <c r="O490" s="28" t="inlineStr">
        <is>
          <t>MESBGTL004</t>
        </is>
      </c>
      <c r="P490" s="37" t="n"/>
      <c r="Q490" s="38" t="n"/>
      <c r="R490" s="28" t="inlineStr">
        <is>
          <t>052</t>
        </is>
      </c>
      <c r="S490" s="37" t="n"/>
      <c r="T490" s="37" t="n"/>
      <c r="U490" s="37" t="n"/>
      <c r="V490" s="38" t="n"/>
      <c r="W490" s="28" t="inlineStr">
        <is>
          <t>Moins de 20 ans</t>
        </is>
      </c>
      <c r="X490" s="37" t="n"/>
      <c r="Y490" s="37" t="n"/>
      <c r="Z490" s="38" t="n"/>
      <c r="AA490" s="29" t="n">
        <v>596</v>
      </c>
      <c r="AB490" s="37" t="n"/>
      <c r="AC490" s="37" t="n"/>
      <c r="AD490" s="37" t="n"/>
      <c r="AE490" s="37" t="n"/>
      <c r="AF490" s="38" t="n"/>
      <c r="AG490" s="29" t="n">
        <v>595</v>
      </c>
      <c r="AH490" s="37" t="n"/>
      <c r="AI490" s="38" t="n"/>
    </row>
    <row r="491" ht="17.1" customHeight="1" s="36">
      <c r="O491" s="28" t="inlineStr">
        <is>
          <t>MESBGTL004</t>
        </is>
      </c>
      <c r="P491" s="37" t="n"/>
      <c r="Q491" s="38" t="n"/>
      <c r="R491" s="28" t="inlineStr">
        <is>
          <t>052</t>
        </is>
      </c>
      <c r="S491" s="37" t="n"/>
      <c r="T491" s="37" t="n"/>
      <c r="U491" s="37" t="n"/>
      <c r="V491" s="38" t="n"/>
      <c r="W491" s="28" t="inlineStr">
        <is>
          <t>21 ans 40 ans</t>
        </is>
      </c>
      <c r="X491" s="37" t="n"/>
      <c r="Y491" s="37" t="n"/>
      <c r="Z491" s="38" t="n"/>
      <c r="AA491" s="29" t="n">
        <v>815</v>
      </c>
      <c r="AB491" s="37" t="n"/>
      <c r="AC491" s="37" t="n"/>
      <c r="AD491" s="37" t="n"/>
      <c r="AE491" s="37" t="n"/>
      <c r="AF491" s="38" t="n"/>
      <c r="AG491" s="29" t="n">
        <v>815</v>
      </c>
      <c r="AH491" s="37" t="n"/>
      <c r="AI491" s="38" t="n"/>
    </row>
    <row r="492" ht="17.1" customHeight="1" s="36">
      <c r="O492" s="28" t="inlineStr">
        <is>
          <t>MESBGTL004</t>
        </is>
      </c>
      <c r="P492" s="37" t="n"/>
      <c r="Q492" s="38" t="n"/>
      <c r="R492" s="28" t="inlineStr">
        <is>
          <t>052</t>
        </is>
      </c>
      <c r="S492" s="37" t="n"/>
      <c r="T492" s="37" t="n"/>
      <c r="U492" s="37" t="n"/>
      <c r="V492" s="38" t="n"/>
      <c r="W492" s="28" t="inlineStr">
        <is>
          <t>41 ans 60 ans</t>
        </is>
      </c>
      <c r="X492" s="37" t="n"/>
      <c r="Y492" s="37" t="n"/>
      <c r="Z492" s="38" t="n"/>
      <c r="AA492" s="29" t="n">
        <v>753</v>
      </c>
      <c r="AB492" s="37" t="n"/>
      <c r="AC492" s="37" t="n"/>
      <c r="AD492" s="37" t="n"/>
      <c r="AE492" s="37" t="n"/>
      <c r="AF492" s="38" t="n"/>
      <c r="AG492" s="29" t="n">
        <v>753</v>
      </c>
      <c r="AH492" s="37" t="n"/>
      <c r="AI492" s="38" t="n"/>
    </row>
    <row r="493" ht="17.1" customHeight="1" s="36">
      <c r="O493" s="28" t="inlineStr">
        <is>
          <t>MESBGTL004</t>
        </is>
      </c>
      <c r="P493" s="37" t="n"/>
      <c r="Q493" s="38" t="n"/>
      <c r="R493" s="28" t="inlineStr">
        <is>
          <t>052</t>
        </is>
      </c>
      <c r="S493" s="37" t="n"/>
      <c r="T493" s="37" t="n"/>
      <c r="U493" s="37" t="n"/>
      <c r="V493" s="38" t="n"/>
      <c r="W493" s="28" t="inlineStr">
        <is>
          <t>61 ans 80 ans</t>
        </is>
      </c>
      <c r="X493" s="37" t="n"/>
      <c r="Y493" s="37" t="n"/>
      <c r="Z493" s="38" t="n"/>
      <c r="AA493" s="29" t="n">
        <v>170</v>
      </c>
      <c r="AB493" s="37" t="n"/>
      <c r="AC493" s="37" t="n"/>
      <c r="AD493" s="37" t="n"/>
      <c r="AE493" s="37" t="n"/>
      <c r="AF493" s="38" t="n"/>
      <c r="AG493" s="29" t="n">
        <v>170</v>
      </c>
      <c r="AH493" s="37" t="n"/>
      <c r="AI493" s="38" t="n"/>
    </row>
    <row r="494" ht="17.1" customHeight="1" s="36">
      <c r="O494" s="28" t="inlineStr">
        <is>
          <t>MESBGTL004</t>
        </is>
      </c>
      <c r="P494" s="37" t="n"/>
      <c r="Q494" s="38" t="n"/>
      <c r="R494" s="28" t="inlineStr">
        <is>
          <t>052</t>
        </is>
      </c>
      <c r="S494" s="37" t="n"/>
      <c r="T494" s="37" t="n"/>
      <c r="U494" s="37" t="n"/>
      <c r="V494" s="38" t="n"/>
      <c r="W494" s="28" t="inlineStr">
        <is>
          <t>Plus de 80 ans</t>
        </is>
      </c>
      <c r="X494" s="37" t="n"/>
      <c r="Y494" s="37" t="n"/>
      <c r="Z494" s="38" t="n"/>
      <c r="AA494" s="29" t="n">
        <v>1</v>
      </c>
      <c r="AB494" s="37" t="n"/>
      <c r="AC494" s="37" t="n"/>
      <c r="AD494" s="37" t="n"/>
      <c r="AE494" s="37" t="n"/>
      <c r="AF494" s="38" t="n"/>
      <c r="AG494" s="29" t="n">
        <v>1</v>
      </c>
      <c r="AH494" s="37" t="n"/>
      <c r="AI494" s="38" t="n"/>
    </row>
    <row r="495" ht="17.1" customHeight="1" s="36">
      <c r="O495" s="28" t="inlineStr">
        <is>
          <t>MESBGTL004</t>
        </is>
      </c>
      <c r="P495" s="37" t="n"/>
      <c r="Q495" s="38" t="n"/>
      <c r="R495" s="28" t="inlineStr">
        <is>
          <t>052</t>
        </is>
      </c>
      <c r="S495" s="37" t="n"/>
      <c r="T495" s="37" t="n"/>
      <c r="U495" s="37" t="n"/>
      <c r="V495" s="38" t="n"/>
      <c r="W495" s="28" t="n"/>
      <c r="X495" s="37" t="n"/>
      <c r="Y495" s="37" t="n"/>
      <c r="Z495" s="38" t="n"/>
      <c r="AA495" s="29" t="n"/>
      <c r="AB495" s="37" t="n"/>
      <c r="AC495" s="37" t="n"/>
      <c r="AD495" s="37" t="n"/>
      <c r="AE495" s="37" t="n"/>
      <c r="AF495" s="38" t="n"/>
      <c r="AG495" s="29" t="n">
        <v>2</v>
      </c>
      <c r="AH495" s="37" t="n"/>
      <c r="AI495" s="38" t="n"/>
    </row>
    <row r="496" ht="17.1" customHeight="1" s="36">
      <c r="O496" s="28" t="inlineStr">
        <is>
          <t>MESBSRT002</t>
        </is>
      </c>
      <c r="P496" s="37" t="n"/>
      <c r="Q496" s="38" t="n"/>
      <c r="R496" s="28" t="inlineStr">
        <is>
          <t>052</t>
        </is>
      </c>
      <c r="S496" s="37" t="n"/>
      <c r="T496" s="37" t="n"/>
      <c r="U496" s="37" t="n"/>
      <c r="V496" s="38" t="n"/>
      <c r="W496" s="28" t="inlineStr">
        <is>
          <t>41 ans 60 ans</t>
        </is>
      </c>
      <c r="X496" s="37" t="n"/>
      <c r="Y496" s="37" t="n"/>
      <c r="Z496" s="38" t="n"/>
      <c r="AA496" s="29" t="n">
        <v>4</v>
      </c>
      <c r="AB496" s="37" t="n"/>
      <c r="AC496" s="37" t="n"/>
      <c r="AD496" s="37" t="n"/>
      <c r="AE496" s="37" t="n"/>
      <c r="AF496" s="38" t="n"/>
      <c r="AG496" s="29" t="n">
        <v>4</v>
      </c>
      <c r="AH496" s="37" t="n"/>
      <c r="AI496" s="38" t="n"/>
    </row>
    <row r="497" ht="17.1" customHeight="1" s="36">
      <c r="O497" s="28" t="inlineStr">
        <is>
          <t>MESBSRT002</t>
        </is>
      </c>
      <c r="P497" s="37" t="n"/>
      <c r="Q497" s="38" t="n"/>
      <c r="R497" s="28" t="inlineStr">
        <is>
          <t>052</t>
        </is>
      </c>
      <c r="S497" s="37" t="n"/>
      <c r="T497" s="37" t="n"/>
      <c r="U497" s="37" t="n"/>
      <c r="V497" s="38" t="n"/>
      <c r="W497" s="28" t="inlineStr">
        <is>
          <t>61 ans 80 ans</t>
        </is>
      </c>
      <c r="X497" s="37" t="n"/>
      <c r="Y497" s="37" t="n"/>
      <c r="Z497" s="38" t="n"/>
      <c r="AA497" s="29" t="n">
        <v>93</v>
      </c>
      <c r="AB497" s="37" t="n"/>
      <c r="AC497" s="37" t="n"/>
      <c r="AD497" s="37" t="n"/>
      <c r="AE497" s="37" t="n"/>
      <c r="AF497" s="38" t="n"/>
      <c r="AG497" s="29" t="n">
        <v>93</v>
      </c>
      <c r="AH497" s="37" t="n"/>
      <c r="AI497" s="38" t="n"/>
    </row>
    <row r="498" ht="17.1" customHeight="1" s="36">
      <c r="O498" s="28" t="inlineStr">
        <is>
          <t>MESBSRT002</t>
        </is>
      </c>
      <c r="P498" s="37" t="n"/>
      <c r="Q498" s="38" t="n"/>
      <c r="R498" s="28" t="inlineStr">
        <is>
          <t>052</t>
        </is>
      </c>
      <c r="S498" s="37" t="n"/>
      <c r="T498" s="37" t="n"/>
      <c r="U498" s="37" t="n"/>
      <c r="V498" s="38" t="n"/>
      <c r="W498" s="28" t="inlineStr">
        <is>
          <t>Plus de 80 ans</t>
        </is>
      </c>
      <c r="X498" s="37" t="n"/>
      <c r="Y498" s="37" t="n"/>
      <c r="Z498" s="38" t="n"/>
      <c r="AA498" s="29" t="n">
        <v>46</v>
      </c>
      <c r="AB498" s="37" t="n"/>
      <c r="AC498" s="37" t="n"/>
      <c r="AD498" s="37" t="n"/>
      <c r="AE498" s="37" t="n"/>
      <c r="AF498" s="38" t="n"/>
      <c r="AG498" s="29" t="n">
        <v>46</v>
      </c>
      <c r="AH498" s="37" t="n"/>
      <c r="AI498" s="38" t="n"/>
    </row>
    <row r="499" ht="17.1" customHeight="1" s="36">
      <c r="O499" s="28" t="inlineStr">
        <is>
          <t>MESCULT002</t>
        </is>
      </c>
      <c r="P499" s="37" t="n"/>
      <c r="Q499" s="38" t="n"/>
      <c r="R499" s="28" t="inlineStr">
        <is>
          <t>010</t>
        </is>
      </c>
      <c r="S499" s="37" t="n"/>
      <c r="T499" s="37" t="n"/>
      <c r="U499" s="37" t="n"/>
      <c r="V499" s="38" t="n"/>
      <c r="W499" s="28" t="inlineStr">
        <is>
          <t>Moins de 20 ans</t>
        </is>
      </c>
      <c r="X499" s="37" t="n"/>
      <c r="Y499" s="37" t="n"/>
      <c r="Z499" s="38" t="n"/>
      <c r="AA499" s="29" t="n">
        <v>5495</v>
      </c>
      <c r="AB499" s="37" t="n"/>
      <c r="AC499" s="37" t="n"/>
      <c r="AD499" s="37" t="n"/>
      <c r="AE499" s="37" t="n"/>
      <c r="AF499" s="38" t="n"/>
      <c r="AG499" s="29" t="n">
        <v>5515</v>
      </c>
      <c r="AH499" s="37" t="n"/>
      <c r="AI499" s="38" t="n"/>
    </row>
    <row r="500" ht="17.1" customHeight="1" s="36">
      <c r="O500" s="28" t="inlineStr">
        <is>
          <t>MESCULT002</t>
        </is>
      </c>
      <c r="P500" s="37" t="n"/>
      <c r="Q500" s="38" t="n"/>
      <c r="R500" s="28" t="inlineStr">
        <is>
          <t>010</t>
        </is>
      </c>
      <c r="S500" s="37" t="n"/>
      <c r="T500" s="37" t="n"/>
      <c r="U500" s="37" t="n"/>
      <c r="V500" s="38" t="n"/>
      <c r="W500" s="28" t="inlineStr">
        <is>
          <t>21 ans 40 ans</t>
        </is>
      </c>
      <c r="X500" s="37" t="n"/>
      <c r="Y500" s="37" t="n"/>
      <c r="Z500" s="38" t="n"/>
      <c r="AA500" s="29" t="n">
        <v>7114</v>
      </c>
      <c r="AB500" s="37" t="n"/>
      <c r="AC500" s="37" t="n"/>
      <c r="AD500" s="37" t="n"/>
      <c r="AE500" s="37" t="n"/>
      <c r="AF500" s="38" t="n"/>
      <c r="AG500" s="29" t="n">
        <v>7131</v>
      </c>
      <c r="AH500" s="37" t="n"/>
      <c r="AI500" s="38" t="n"/>
    </row>
    <row r="501" ht="17.1" customHeight="1" s="36">
      <c r="O501" s="28" t="inlineStr">
        <is>
          <t>MESCULT002</t>
        </is>
      </c>
      <c r="P501" s="37" t="n"/>
      <c r="Q501" s="38" t="n"/>
      <c r="R501" s="28" t="inlineStr">
        <is>
          <t>010</t>
        </is>
      </c>
      <c r="S501" s="37" t="n"/>
      <c r="T501" s="37" t="n"/>
      <c r="U501" s="37" t="n"/>
      <c r="V501" s="38" t="n"/>
      <c r="W501" s="28" t="inlineStr">
        <is>
          <t>41 ans 60 ans</t>
        </is>
      </c>
      <c r="X501" s="37" t="n"/>
      <c r="Y501" s="37" t="n"/>
      <c r="Z501" s="38" t="n"/>
      <c r="AA501" s="29" t="n">
        <v>11971</v>
      </c>
      <c r="AB501" s="37" t="n"/>
      <c r="AC501" s="37" t="n"/>
      <c r="AD501" s="37" t="n"/>
      <c r="AE501" s="37" t="n"/>
      <c r="AF501" s="38" t="n"/>
      <c r="AG501" s="29" t="n">
        <v>11977</v>
      </c>
      <c r="AH501" s="37" t="n"/>
      <c r="AI501" s="38" t="n"/>
    </row>
    <row r="502" ht="17.1" customHeight="1" s="36">
      <c r="O502" s="28" t="inlineStr">
        <is>
          <t>MESCULT002</t>
        </is>
      </c>
      <c r="P502" s="37" t="n"/>
      <c r="Q502" s="38" t="n"/>
      <c r="R502" s="28" t="inlineStr">
        <is>
          <t>010</t>
        </is>
      </c>
      <c r="S502" s="37" t="n"/>
      <c r="T502" s="37" t="n"/>
      <c r="U502" s="37" t="n"/>
      <c r="V502" s="38" t="n"/>
      <c r="W502" s="28" t="inlineStr">
        <is>
          <t>61 ans 80 ans</t>
        </is>
      </c>
      <c r="X502" s="37" t="n"/>
      <c r="Y502" s="37" t="n"/>
      <c r="Z502" s="38" t="n"/>
      <c r="AA502" s="29" t="n">
        <v>3707</v>
      </c>
      <c r="AB502" s="37" t="n"/>
      <c r="AC502" s="37" t="n"/>
      <c r="AD502" s="37" t="n"/>
      <c r="AE502" s="37" t="n"/>
      <c r="AF502" s="38" t="n"/>
      <c r="AG502" s="29" t="n">
        <v>3710</v>
      </c>
      <c r="AH502" s="37" t="n"/>
      <c r="AI502" s="38" t="n"/>
    </row>
    <row r="503" ht="17.1" customHeight="1" s="36">
      <c r="O503" s="28" t="inlineStr">
        <is>
          <t>MESCULT002</t>
        </is>
      </c>
      <c r="P503" s="37" t="n"/>
      <c r="Q503" s="38" t="n"/>
      <c r="R503" s="28" t="inlineStr">
        <is>
          <t>010</t>
        </is>
      </c>
      <c r="S503" s="37" t="n"/>
      <c r="T503" s="37" t="n"/>
      <c r="U503" s="37" t="n"/>
      <c r="V503" s="38" t="n"/>
      <c r="W503" s="28" t="inlineStr">
        <is>
          <t>Plus de 80 ans</t>
        </is>
      </c>
      <c r="X503" s="37" t="n"/>
      <c r="Y503" s="37" t="n"/>
      <c r="Z503" s="38" t="n"/>
      <c r="AA503" s="29" t="n">
        <v>9</v>
      </c>
      <c r="AB503" s="37" t="n"/>
      <c r="AC503" s="37" t="n"/>
      <c r="AD503" s="37" t="n"/>
      <c r="AE503" s="37" t="n"/>
      <c r="AF503" s="38" t="n"/>
      <c r="AG503" s="29" t="n">
        <v>9</v>
      </c>
      <c r="AH503" s="37" t="n"/>
      <c r="AI503" s="38" t="n"/>
    </row>
    <row r="504" ht="17.1" customHeight="1" s="36">
      <c r="O504" s="28" t="inlineStr">
        <is>
          <t>MESCULT101</t>
        </is>
      </c>
      <c r="P504" s="37" t="n"/>
      <c r="Q504" s="38" t="n"/>
      <c r="R504" s="28" t="inlineStr">
        <is>
          <t>010</t>
        </is>
      </c>
      <c r="S504" s="37" t="n"/>
      <c r="T504" s="37" t="n"/>
      <c r="U504" s="37" t="n"/>
      <c r="V504" s="38" t="n"/>
      <c r="W504" s="28" t="inlineStr">
        <is>
          <t>Moins de 20 ans</t>
        </is>
      </c>
      <c r="X504" s="37" t="n"/>
      <c r="Y504" s="37" t="n"/>
      <c r="Z504" s="38" t="n"/>
      <c r="AA504" s="29" t="n">
        <v>4</v>
      </c>
      <c r="AB504" s="37" t="n"/>
      <c r="AC504" s="37" t="n"/>
      <c r="AD504" s="37" t="n"/>
      <c r="AE504" s="37" t="n"/>
      <c r="AF504" s="38" t="n"/>
      <c r="AG504" s="29" t="n">
        <v>4</v>
      </c>
      <c r="AH504" s="37" t="n"/>
      <c r="AI504" s="38" t="n"/>
    </row>
    <row r="505" ht="17.1" customHeight="1" s="36">
      <c r="O505" s="28" t="inlineStr">
        <is>
          <t>MESCULT101</t>
        </is>
      </c>
      <c r="P505" s="37" t="n"/>
      <c r="Q505" s="38" t="n"/>
      <c r="R505" s="28" t="inlineStr">
        <is>
          <t>010</t>
        </is>
      </c>
      <c r="S505" s="37" t="n"/>
      <c r="T505" s="37" t="n"/>
      <c r="U505" s="37" t="n"/>
      <c r="V505" s="38" t="n"/>
      <c r="W505" s="28" t="inlineStr">
        <is>
          <t>21 ans 40 ans</t>
        </is>
      </c>
      <c r="X505" s="37" t="n"/>
      <c r="Y505" s="37" t="n"/>
      <c r="Z505" s="38" t="n"/>
      <c r="AA505" s="29" t="n">
        <v>4</v>
      </c>
      <c r="AB505" s="37" t="n"/>
      <c r="AC505" s="37" t="n"/>
      <c r="AD505" s="37" t="n"/>
      <c r="AE505" s="37" t="n"/>
      <c r="AF505" s="38" t="n"/>
      <c r="AG505" s="29" t="n">
        <v>4</v>
      </c>
      <c r="AH505" s="37" t="n"/>
      <c r="AI505" s="38" t="n"/>
    </row>
    <row r="506" ht="17.1" customHeight="1" s="36">
      <c r="O506" s="28" t="inlineStr">
        <is>
          <t>MESCULT101</t>
        </is>
      </c>
      <c r="P506" s="37" t="n"/>
      <c r="Q506" s="38" t="n"/>
      <c r="R506" s="28" t="inlineStr">
        <is>
          <t>010</t>
        </is>
      </c>
      <c r="S506" s="37" t="n"/>
      <c r="T506" s="37" t="n"/>
      <c r="U506" s="37" t="n"/>
      <c r="V506" s="38" t="n"/>
      <c r="W506" s="28" t="inlineStr">
        <is>
          <t>41 ans 60 ans</t>
        </is>
      </c>
      <c r="X506" s="37" t="n"/>
      <c r="Y506" s="37" t="n"/>
      <c r="Z506" s="38" t="n"/>
      <c r="AA506" s="29" t="n">
        <v>3</v>
      </c>
      <c r="AB506" s="37" t="n"/>
      <c r="AC506" s="37" t="n"/>
      <c r="AD506" s="37" t="n"/>
      <c r="AE506" s="37" t="n"/>
      <c r="AF506" s="38" t="n"/>
      <c r="AG506" s="29" t="n">
        <v>3</v>
      </c>
      <c r="AH506" s="37" t="n"/>
      <c r="AI506" s="38" t="n"/>
    </row>
    <row r="507" ht="17.1" customHeight="1" s="36">
      <c r="O507" s="28" t="inlineStr">
        <is>
          <t>MESERASMUS</t>
        </is>
      </c>
      <c r="P507" s="37" t="n"/>
      <c r="Q507" s="38" t="n"/>
      <c r="R507" s="28" t="inlineStr">
        <is>
          <t>052</t>
        </is>
      </c>
      <c r="S507" s="37" t="n"/>
      <c r="T507" s="37" t="n"/>
      <c r="U507" s="37" t="n"/>
      <c r="V507" s="38" t="n"/>
      <c r="W507" s="28" t="inlineStr">
        <is>
          <t>Moins de 20 ans</t>
        </is>
      </c>
      <c r="X507" s="37" t="n"/>
      <c r="Y507" s="37" t="n"/>
      <c r="Z507" s="38" t="n"/>
      <c r="AA507" s="29" t="n">
        <v>98</v>
      </c>
      <c r="AB507" s="37" t="n"/>
      <c r="AC507" s="37" t="n"/>
      <c r="AD507" s="37" t="n"/>
      <c r="AE507" s="37" t="n"/>
      <c r="AF507" s="38" t="n"/>
      <c r="AG507" s="29" t="n">
        <v>98</v>
      </c>
      <c r="AH507" s="37" t="n"/>
      <c r="AI507" s="38" t="n"/>
    </row>
    <row r="508" ht="17.1" customHeight="1" s="36">
      <c r="O508" s="28" t="inlineStr">
        <is>
          <t>MESERASMUS</t>
        </is>
      </c>
      <c r="P508" s="37" t="n"/>
      <c r="Q508" s="38" t="n"/>
      <c r="R508" s="28" t="inlineStr">
        <is>
          <t>052</t>
        </is>
      </c>
      <c r="S508" s="37" t="n"/>
      <c r="T508" s="37" t="n"/>
      <c r="U508" s="37" t="n"/>
      <c r="V508" s="38" t="n"/>
      <c r="W508" s="28" t="inlineStr">
        <is>
          <t>21 ans 40 ans</t>
        </is>
      </c>
      <c r="X508" s="37" t="n"/>
      <c r="Y508" s="37" t="n"/>
      <c r="Z508" s="38" t="n"/>
      <c r="AA508" s="29" t="n">
        <v>180</v>
      </c>
      <c r="AB508" s="37" t="n"/>
      <c r="AC508" s="37" t="n"/>
      <c r="AD508" s="37" t="n"/>
      <c r="AE508" s="37" t="n"/>
      <c r="AF508" s="38" t="n"/>
      <c r="AG508" s="29" t="n">
        <v>181</v>
      </c>
      <c r="AH508" s="37" t="n"/>
      <c r="AI508" s="38" t="n"/>
    </row>
    <row r="509" ht="17.1" customHeight="1" s="36">
      <c r="O509" s="28" t="inlineStr">
        <is>
          <t>MESERASMUS</t>
        </is>
      </c>
      <c r="P509" s="37" t="n"/>
      <c r="Q509" s="38" t="n"/>
      <c r="R509" s="28" t="inlineStr">
        <is>
          <t>052</t>
        </is>
      </c>
      <c r="S509" s="37" t="n"/>
      <c r="T509" s="37" t="n"/>
      <c r="U509" s="37" t="n"/>
      <c r="V509" s="38" t="n"/>
      <c r="W509" s="28" t="inlineStr">
        <is>
          <t>41 ans 60 ans</t>
        </is>
      </c>
      <c r="X509" s="37" t="n"/>
      <c r="Y509" s="37" t="n"/>
      <c r="Z509" s="38" t="n"/>
      <c r="AA509" s="29" t="n">
        <v>154</v>
      </c>
      <c r="AB509" s="37" t="n"/>
      <c r="AC509" s="37" t="n"/>
      <c r="AD509" s="37" t="n"/>
      <c r="AE509" s="37" t="n"/>
      <c r="AF509" s="38" t="n"/>
      <c r="AG509" s="29" t="n">
        <v>154</v>
      </c>
      <c r="AH509" s="37" t="n"/>
      <c r="AI509" s="38" t="n"/>
    </row>
    <row r="510" ht="17.1" customHeight="1" s="36">
      <c r="O510" s="28" t="inlineStr">
        <is>
          <t>MESERASMUS</t>
        </is>
      </c>
      <c r="P510" s="37" t="n"/>
      <c r="Q510" s="38" t="n"/>
      <c r="R510" s="28" t="inlineStr">
        <is>
          <t>052</t>
        </is>
      </c>
      <c r="S510" s="37" t="n"/>
      <c r="T510" s="37" t="n"/>
      <c r="U510" s="37" t="n"/>
      <c r="V510" s="38" t="n"/>
      <c r="W510" s="28" t="inlineStr">
        <is>
          <t>61 ans 80 ans</t>
        </is>
      </c>
      <c r="X510" s="37" t="n"/>
      <c r="Y510" s="37" t="n"/>
      <c r="Z510" s="38" t="n"/>
      <c r="AA510" s="29" t="n">
        <v>24</v>
      </c>
      <c r="AB510" s="37" t="n"/>
      <c r="AC510" s="37" t="n"/>
      <c r="AD510" s="37" t="n"/>
      <c r="AE510" s="37" t="n"/>
      <c r="AF510" s="38" t="n"/>
      <c r="AG510" s="29" t="n">
        <v>24</v>
      </c>
      <c r="AH510" s="37" t="n"/>
      <c r="AI510" s="38" t="n"/>
    </row>
    <row r="511" ht="17.1" customHeight="1" s="36">
      <c r="O511" s="28" t="inlineStr">
        <is>
          <t>MESERASMUS</t>
        </is>
      </c>
      <c r="P511" s="37" t="n"/>
      <c r="Q511" s="38" t="n"/>
      <c r="R511" s="28" t="inlineStr">
        <is>
          <t>052</t>
        </is>
      </c>
      <c r="S511" s="37" t="n"/>
      <c r="T511" s="37" t="n"/>
      <c r="U511" s="37" t="n"/>
      <c r="V511" s="38" t="n"/>
      <c r="W511" s="28" t="inlineStr">
        <is>
          <t>Plus de 80 ans</t>
        </is>
      </c>
      <c r="X511" s="37" t="n"/>
      <c r="Y511" s="37" t="n"/>
      <c r="Z511" s="38" t="n"/>
      <c r="AA511" s="29" t="n">
        <v>1</v>
      </c>
      <c r="AB511" s="37" t="n"/>
      <c r="AC511" s="37" t="n"/>
      <c r="AD511" s="37" t="n"/>
      <c r="AE511" s="37" t="n"/>
      <c r="AF511" s="38" t="n"/>
      <c r="AG511" s="29" t="n">
        <v>1</v>
      </c>
      <c r="AH511" s="37" t="n"/>
      <c r="AI511" s="38" t="n"/>
    </row>
    <row r="512" ht="17.1" customHeight="1" s="36">
      <c r="O512" s="28" t="inlineStr">
        <is>
          <t>MESESEA001</t>
        </is>
      </c>
      <c r="P512" s="37" t="n"/>
      <c r="Q512" s="38" t="n"/>
      <c r="R512" s="28" t="inlineStr">
        <is>
          <t>052</t>
        </is>
      </c>
      <c r="S512" s="37" t="n"/>
      <c r="T512" s="37" t="n"/>
      <c r="U512" s="37" t="n"/>
      <c r="V512" s="38" t="n"/>
      <c r="W512" s="28" t="inlineStr">
        <is>
          <t>Moins de 20 ans</t>
        </is>
      </c>
      <c r="X512" s="37" t="n"/>
      <c r="Y512" s="37" t="n"/>
      <c r="Z512" s="38" t="n"/>
      <c r="AA512" s="29" t="n">
        <v>35</v>
      </c>
      <c r="AB512" s="37" t="n"/>
      <c r="AC512" s="37" t="n"/>
      <c r="AD512" s="37" t="n"/>
      <c r="AE512" s="37" t="n"/>
      <c r="AF512" s="38" t="n"/>
      <c r="AG512" s="29" t="n">
        <v>35</v>
      </c>
      <c r="AH512" s="37" t="n"/>
      <c r="AI512" s="38" t="n"/>
    </row>
    <row r="513" ht="17.1" customHeight="1" s="36">
      <c r="O513" s="28" t="inlineStr">
        <is>
          <t>MESESEA001</t>
        </is>
      </c>
      <c r="P513" s="37" t="n"/>
      <c r="Q513" s="38" t="n"/>
      <c r="R513" s="28" t="inlineStr">
        <is>
          <t>052</t>
        </is>
      </c>
      <c r="S513" s="37" t="n"/>
      <c r="T513" s="37" t="n"/>
      <c r="U513" s="37" t="n"/>
      <c r="V513" s="38" t="n"/>
      <c r="W513" s="28" t="inlineStr">
        <is>
          <t>21 ans 40 ans</t>
        </is>
      </c>
      <c r="X513" s="37" t="n"/>
      <c r="Y513" s="37" t="n"/>
      <c r="Z513" s="38" t="n"/>
      <c r="AA513" s="29" t="n">
        <v>68</v>
      </c>
      <c r="AB513" s="37" t="n"/>
      <c r="AC513" s="37" t="n"/>
      <c r="AD513" s="37" t="n"/>
      <c r="AE513" s="37" t="n"/>
      <c r="AF513" s="38" t="n"/>
      <c r="AG513" s="29" t="n">
        <v>69</v>
      </c>
      <c r="AH513" s="37" t="n"/>
      <c r="AI513" s="38" t="n"/>
    </row>
    <row r="514" ht="17.1" customHeight="1" s="36">
      <c r="O514" s="28" t="inlineStr">
        <is>
          <t>MESESEA001</t>
        </is>
      </c>
      <c r="P514" s="37" t="n"/>
      <c r="Q514" s="38" t="n"/>
      <c r="R514" s="28" t="inlineStr">
        <is>
          <t>052</t>
        </is>
      </c>
      <c r="S514" s="37" t="n"/>
      <c r="T514" s="37" t="n"/>
      <c r="U514" s="37" t="n"/>
      <c r="V514" s="38" t="n"/>
      <c r="W514" s="28" t="inlineStr">
        <is>
          <t>41 ans 60 ans</t>
        </is>
      </c>
      <c r="X514" s="37" t="n"/>
      <c r="Y514" s="37" t="n"/>
      <c r="Z514" s="38" t="n"/>
      <c r="AA514" s="29" t="n">
        <v>44</v>
      </c>
      <c r="AB514" s="37" t="n"/>
      <c r="AC514" s="37" t="n"/>
      <c r="AD514" s="37" t="n"/>
      <c r="AE514" s="37" t="n"/>
      <c r="AF514" s="38" t="n"/>
      <c r="AG514" s="29" t="n">
        <v>44</v>
      </c>
      <c r="AH514" s="37" t="n"/>
      <c r="AI514" s="38" t="n"/>
    </row>
    <row r="515" ht="17.1" customHeight="1" s="36">
      <c r="O515" s="28" t="inlineStr">
        <is>
          <t>MESESEA001</t>
        </is>
      </c>
      <c r="P515" s="37" t="n"/>
      <c r="Q515" s="38" t="n"/>
      <c r="R515" s="28" t="inlineStr">
        <is>
          <t>052</t>
        </is>
      </c>
      <c r="S515" s="37" t="n"/>
      <c r="T515" s="37" t="n"/>
      <c r="U515" s="37" t="n"/>
      <c r="V515" s="38" t="n"/>
      <c r="W515" s="28" t="inlineStr">
        <is>
          <t>61 ans 80 ans</t>
        </is>
      </c>
      <c r="X515" s="37" t="n"/>
      <c r="Y515" s="37" t="n"/>
      <c r="Z515" s="38" t="n"/>
      <c r="AA515" s="29" t="n">
        <v>3</v>
      </c>
      <c r="AB515" s="37" t="n"/>
      <c r="AC515" s="37" t="n"/>
      <c r="AD515" s="37" t="n"/>
      <c r="AE515" s="37" t="n"/>
      <c r="AF515" s="38" t="n"/>
      <c r="AG515" s="29" t="n">
        <v>3</v>
      </c>
      <c r="AH515" s="37" t="n"/>
      <c r="AI515" s="38" t="n"/>
    </row>
    <row r="516" ht="17.1" customHeight="1" s="36">
      <c r="O516" s="28" t="inlineStr">
        <is>
          <t>MESFRVL001</t>
        </is>
      </c>
      <c r="P516" s="37" t="n"/>
      <c r="Q516" s="38" t="n"/>
      <c r="R516" s="28" t="inlineStr">
        <is>
          <t>052</t>
        </is>
      </c>
      <c r="S516" s="37" t="n"/>
      <c r="T516" s="37" t="n"/>
      <c r="U516" s="37" t="n"/>
      <c r="V516" s="38" t="n"/>
      <c r="W516" s="28" t="inlineStr">
        <is>
          <t>Moins de 20 ans</t>
        </is>
      </c>
      <c r="X516" s="37" t="n"/>
      <c r="Y516" s="37" t="n"/>
      <c r="Z516" s="38" t="n"/>
      <c r="AA516" s="29" t="n">
        <v>34</v>
      </c>
      <c r="AB516" s="37" t="n"/>
      <c r="AC516" s="37" t="n"/>
      <c r="AD516" s="37" t="n"/>
      <c r="AE516" s="37" t="n"/>
      <c r="AF516" s="38" t="n"/>
      <c r="AG516" s="29" t="n">
        <v>34</v>
      </c>
      <c r="AH516" s="37" t="n"/>
      <c r="AI516" s="38" t="n"/>
    </row>
    <row r="517" ht="17.1" customHeight="1" s="36">
      <c r="O517" s="28" t="inlineStr">
        <is>
          <t>MESFRVL001</t>
        </is>
      </c>
      <c r="P517" s="37" t="n"/>
      <c r="Q517" s="38" t="n"/>
      <c r="R517" s="28" t="inlineStr">
        <is>
          <t>052</t>
        </is>
      </c>
      <c r="S517" s="37" t="n"/>
      <c r="T517" s="37" t="n"/>
      <c r="U517" s="37" t="n"/>
      <c r="V517" s="38" t="n"/>
      <c r="W517" s="28" t="inlineStr">
        <is>
          <t>21 ans 40 ans</t>
        </is>
      </c>
      <c r="X517" s="37" t="n"/>
      <c r="Y517" s="37" t="n"/>
      <c r="Z517" s="38" t="n"/>
      <c r="AA517" s="29" t="n">
        <v>23</v>
      </c>
      <c r="AB517" s="37" t="n"/>
      <c r="AC517" s="37" t="n"/>
      <c r="AD517" s="37" t="n"/>
      <c r="AE517" s="37" t="n"/>
      <c r="AF517" s="38" t="n"/>
      <c r="AG517" s="29" t="n">
        <v>23</v>
      </c>
      <c r="AH517" s="37" t="n"/>
      <c r="AI517" s="38" t="n"/>
    </row>
    <row r="518" ht="17.1" customHeight="1" s="36">
      <c r="O518" s="28" t="inlineStr">
        <is>
          <t>MESFRVL001</t>
        </is>
      </c>
      <c r="P518" s="37" t="n"/>
      <c r="Q518" s="38" t="n"/>
      <c r="R518" s="28" t="inlineStr">
        <is>
          <t>052</t>
        </is>
      </c>
      <c r="S518" s="37" t="n"/>
      <c r="T518" s="37" t="n"/>
      <c r="U518" s="37" t="n"/>
      <c r="V518" s="38" t="n"/>
      <c r="W518" s="28" t="inlineStr">
        <is>
          <t>41 ans 60 ans</t>
        </is>
      </c>
      <c r="X518" s="37" t="n"/>
      <c r="Y518" s="37" t="n"/>
      <c r="Z518" s="38" t="n"/>
      <c r="AA518" s="29" t="n">
        <v>35</v>
      </c>
      <c r="AB518" s="37" t="n"/>
      <c r="AC518" s="37" t="n"/>
      <c r="AD518" s="37" t="n"/>
      <c r="AE518" s="37" t="n"/>
      <c r="AF518" s="38" t="n"/>
      <c r="AG518" s="29" t="n">
        <v>35</v>
      </c>
      <c r="AH518" s="37" t="n"/>
      <c r="AI518" s="38" t="n"/>
    </row>
    <row r="519" ht="17.1" customHeight="1" s="36">
      <c r="O519" s="28" t="inlineStr">
        <is>
          <t>MESFRVL001</t>
        </is>
      </c>
      <c r="P519" s="37" t="n"/>
      <c r="Q519" s="38" t="n"/>
      <c r="R519" s="28" t="inlineStr">
        <is>
          <t>052</t>
        </is>
      </c>
      <c r="S519" s="37" t="n"/>
      <c r="T519" s="37" t="n"/>
      <c r="U519" s="37" t="n"/>
      <c r="V519" s="38" t="n"/>
      <c r="W519" s="28" t="inlineStr">
        <is>
          <t>61 ans 80 ans</t>
        </is>
      </c>
      <c r="X519" s="37" t="n"/>
      <c r="Y519" s="37" t="n"/>
      <c r="Z519" s="38" t="n"/>
      <c r="AA519" s="29" t="n">
        <v>8</v>
      </c>
      <c r="AB519" s="37" t="n"/>
      <c r="AC519" s="37" t="n"/>
      <c r="AD519" s="37" t="n"/>
      <c r="AE519" s="37" t="n"/>
      <c r="AF519" s="38" t="n"/>
      <c r="AG519" s="29" t="n">
        <v>8</v>
      </c>
      <c r="AH519" s="37" t="n"/>
      <c r="AI519" s="38" t="n"/>
    </row>
    <row r="520" ht="17.1" customHeight="1" s="36">
      <c r="O520" s="28" t="inlineStr">
        <is>
          <t>MESGMMS004</t>
        </is>
      </c>
      <c r="P520" s="37" t="n"/>
      <c r="Q520" s="38" t="n"/>
      <c r="R520" s="28" t="inlineStr">
        <is>
          <t>052</t>
        </is>
      </c>
      <c r="S520" s="37" t="n"/>
      <c r="T520" s="37" t="n"/>
      <c r="U520" s="37" t="n"/>
      <c r="V520" s="38" t="n"/>
      <c r="W520" s="28" t="inlineStr">
        <is>
          <t>Moins de 20 ans</t>
        </is>
      </c>
      <c r="X520" s="37" t="n"/>
      <c r="Y520" s="37" t="n"/>
      <c r="Z520" s="38" t="n"/>
      <c r="AA520" s="29" t="n">
        <v>140</v>
      </c>
      <c r="AB520" s="37" t="n"/>
      <c r="AC520" s="37" t="n"/>
      <c r="AD520" s="37" t="n"/>
      <c r="AE520" s="37" t="n"/>
      <c r="AF520" s="38" t="n"/>
      <c r="AG520" s="29" t="n">
        <v>141</v>
      </c>
      <c r="AH520" s="37" t="n"/>
      <c r="AI520" s="38" t="n"/>
    </row>
    <row r="521" ht="17.1" customHeight="1" s="36">
      <c r="O521" s="28" t="inlineStr">
        <is>
          <t>MESGMMS004</t>
        </is>
      </c>
      <c r="P521" s="37" t="n"/>
      <c r="Q521" s="38" t="n"/>
      <c r="R521" s="28" t="inlineStr">
        <is>
          <t>052</t>
        </is>
      </c>
      <c r="S521" s="37" t="n"/>
      <c r="T521" s="37" t="n"/>
      <c r="U521" s="37" t="n"/>
      <c r="V521" s="38" t="n"/>
      <c r="W521" s="28" t="inlineStr">
        <is>
          <t>21 ans 40 ans</t>
        </is>
      </c>
      <c r="X521" s="37" t="n"/>
      <c r="Y521" s="37" t="n"/>
      <c r="Z521" s="38" t="n"/>
      <c r="AA521" s="29" t="n">
        <v>206</v>
      </c>
      <c r="AB521" s="37" t="n"/>
      <c r="AC521" s="37" t="n"/>
      <c r="AD521" s="37" t="n"/>
      <c r="AE521" s="37" t="n"/>
      <c r="AF521" s="38" t="n"/>
      <c r="AG521" s="29" t="n">
        <v>209</v>
      </c>
      <c r="AH521" s="37" t="n"/>
      <c r="AI521" s="38" t="n"/>
    </row>
    <row r="522" ht="17.1" customHeight="1" s="36">
      <c r="O522" s="28" t="inlineStr">
        <is>
          <t>MESGMMS004</t>
        </is>
      </c>
      <c r="P522" s="37" t="n"/>
      <c r="Q522" s="38" t="n"/>
      <c r="R522" s="28" t="inlineStr">
        <is>
          <t>052</t>
        </is>
      </c>
      <c r="S522" s="37" t="n"/>
      <c r="T522" s="37" t="n"/>
      <c r="U522" s="37" t="n"/>
      <c r="V522" s="38" t="n"/>
      <c r="W522" s="28" t="inlineStr">
        <is>
          <t>41 ans 60 ans</t>
        </is>
      </c>
      <c r="X522" s="37" t="n"/>
      <c r="Y522" s="37" t="n"/>
      <c r="Z522" s="38" t="n"/>
      <c r="AA522" s="29" t="n">
        <v>191</v>
      </c>
      <c r="AB522" s="37" t="n"/>
      <c r="AC522" s="37" t="n"/>
      <c r="AD522" s="37" t="n"/>
      <c r="AE522" s="37" t="n"/>
      <c r="AF522" s="38" t="n"/>
      <c r="AG522" s="29" t="n">
        <v>191</v>
      </c>
      <c r="AH522" s="37" t="n"/>
      <c r="AI522" s="38" t="n"/>
    </row>
    <row r="523" ht="17.1" customHeight="1" s="36">
      <c r="O523" s="28" t="inlineStr">
        <is>
          <t>MESGMMS004</t>
        </is>
      </c>
      <c r="P523" s="37" t="n"/>
      <c r="Q523" s="38" t="n"/>
      <c r="R523" s="28" t="inlineStr">
        <is>
          <t>052</t>
        </is>
      </c>
      <c r="S523" s="37" t="n"/>
      <c r="T523" s="37" t="n"/>
      <c r="U523" s="37" t="n"/>
      <c r="V523" s="38" t="n"/>
      <c r="W523" s="28" t="inlineStr">
        <is>
          <t>61 ans 80 ans</t>
        </is>
      </c>
      <c r="X523" s="37" t="n"/>
      <c r="Y523" s="37" t="n"/>
      <c r="Z523" s="38" t="n"/>
      <c r="AA523" s="29" t="n">
        <v>57</v>
      </c>
      <c r="AB523" s="37" t="n"/>
      <c r="AC523" s="37" t="n"/>
      <c r="AD523" s="37" t="n"/>
      <c r="AE523" s="37" t="n"/>
      <c r="AF523" s="38" t="n"/>
      <c r="AG523" s="29" t="n">
        <v>57</v>
      </c>
      <c r="AH523" s="37" t="n"/>
      <c r="AI523" s="38" t="n"/>
    </row>
    <row r="524" ht="17.1" customHeight="1" s="36">
      <c r="O524" s="28" t="inlineStr">
        <is>
          <t>MESINOV003</t>
        </is>
      </c>
      <c r="P524" s="37" t="n"/>
      <c r="Q524" s="38" t="n"/>
      <c r="R524" s="28" t="inlineStr">
        <is>
          <t>052</t>
        </is>
      </c>
      <c r="S524" s="37" t="n"/>
      <c r="T524" s="37" t="n"/>
      <c r="U524" s="37" t="n"/>
      <c r="V524" s="38" t="n"/>
      <c r="W524" s="28" t="inlineStr">
        <is>
          <t>Moins de 20 ans</t>
        </is>
      </c>
      <c r="X524" s="37" t="n"/>
      <c r="Y524" s="37" t="n"/>
      <c r="Z524" s="38" t="n"/>
      <c r="AA524" s="29" t="n">
        <v>86</v>
      </c>
      <c r="AB524" s="37" t="n"/>
      <c r="AC524" s="37" t="n"/>
      <c r="AD524" s="37" t="n"/>
      <c r="AE524" s="37" t="n"/>
      <c r="AF524" s="38" t="n"/>
      <c r="AG524" s="29" t="n">
        <v>87</v>
      </c>
      <c r="AH524" s="37" t="n"/>
      <c r="AI524" s="38" t="n"/>
    </row>
    <row r="525" ht="17.1" customHeight="1" s="36">
      <c r="O525" s="28" t="inlineStr">
        <is>
          <t>MESINOV003</t>
        </is>
      </c>
      <c r="P525" s="37" t="n"/>
      <c r="Q525" s="38" t="n"/>
      <c r="R525" s="28" t="inlineStr">
        <is>
          <t>052</t>
        </is>
      </c>
      <c r="S525" s="37" t="n"/>
      <c r="T525" s="37" t="n"/>
      <c r="U525" s="37" t="n"/>
      <c r="V525" s="38" t="n"/>
      <c r="W525" s="28" t="inlineStr">
        <is>
          <t>21 ans 40 ans</t>
        </is>
      </c>
      <c r="X525" s="37" t="n"/>
      <c r="Y525" s="37" t="n"/>
      <c r="Z525" s="38" t="n"/>
      <c r="AA525" s="29" t="n">
        <v>215</v>
      </c>
      <c r="AB525" s="37" t="n"/>
      <c r="AC525" s="37" t="n"/>
      <c r="AD525" s="37" t="n"/>
      <c r="AE525" s="37" t="n"/>
      <c r="AF525" s="38" t="n"/>
      <c r="AG525" s="29" t="n">
        <v>216</v>
      </c>
      <c r="AH525" s="37" t="n"/>
      <c r="AI525" s="38" t="n"/>
    </row>
    <row r="526" ht="17.1" customHeight="1" s="36">
      <c r="O526" s="28" t="inlineStr">
        <is>
          <t>MESINOV003</t>
        </is>
      </c>
      <c r="P526" s="37" t="n"/>
      <c r="Q526" s="38" t="n"/>
      <c r="R526" s="28" t="inlineStr">
        <is>
          <t>052</t>
        </is>
      </c>
      <c r="S526" s="37" t="n"/>
      <c r="T526" s="37" t="n"/>
      <c r="U526" s="37" t="n"/>
      <c r="V526" s="38" t="n"/>
      <c r="W526" s="28" t="inlineStr">
        <is>
          <t>41 ans 60 ans</t>
        </is>
      </c>
      <c r="X526" s="37" t="n"/>
      <c r="Y526" s="37" t="n"/>
      <c r="Z526" s="38" t="n"/>
      <c r="AA526" s="29" t="n">
        <v>73</v>
      </c>
      <c r="AB526" s="37" t="n"/>
      <c r="AC526" s="37" t="n"/>
      <c r="AD526" s="37" t="n"/>
      <c r="AE526" s="37" t="n"/>
      <c r="AF526" s="38" t="n"/>
      <c r="AG526" s="29" t="n">
        <v>73</v>
      </c>
      <c r="AH526" s="37" t="n"/>
      <c r="AI526" s="38" t="n"/>
    </row>
    <row r="527" ht="17.1" customHeight="1" s="36">
      <c r="O527" s="28" t="inlineStr">
        <is>
          <t>MESINOV003</t>
        </is>
      </c>
      <c r="P527" s="37" t="n"/>
      <c r="Q527" s="38" t="n"/>
      <c r="R527" s="28" t="inlineStr">
        <is>
          <t>052</t>
        </is>
      </c>
      <c r="S527" s="37" t="n"/>
      <c r="T527" s="37" t="n"/>
      <c r="U527" s="37" t="n"/>
      <c r="V527" s="38" t="n"/>
      <c r="W527" s="28" t="inlineStr">
        <is>
          <t>61 ans 80 ans</t>
        </is>
      </c>
      <c r="X527" s="37" t="n"/>
      <c r="Y527" s="37" t="n"/>
      <c r="Z527" s="38" t="n"/>
      <c r="AA527" s="29" t="n">
        <v>2</v>
      </c>
      <c r="AB527" s="37" t="n"/>
      <c r="AC527" s="37" t="n"/>
      <c r="AD527" s="37" t="n"/>
      <c r="AE527" s="37" t="n"/>
      <c r="AF527" s="38" t="n"/>
      <c r="AG527" s="29" t="n">
        <v>1</v>
      </c>
      <c r="AH527" s="37" t="n"/>
      <c r="AI527" s="38" t="n"/>
    </row>
    <row r="528" ht="17.1" customHeight="1" s="36">
      <c r="O528" s="28" t="inlineStr">
        <is>
          <t>MESJUAD002</t>
        </is>
      </c>
      <c r="P528" s="37" t="n"/>
      <c r="Q528" s="38" t="n"/>
      <c r="R528" s="28" t="inlineStr">
        <is>
          <t>010</t>
        </is>
      </c>
      <c r="S528" s="37" t="n"/>
      <c r="T528" s="37" t="n"/>
      <c r="U528" s="37" t="n"/>
      <c r="V528" s="38" t="n"/>
      <c r="W528" s="28" t="inlineStr">
        <is>
          <t>Moins de 20 ans</t>
        </is>
      </c>
      <c r="X528" s="37" t="n"/>
      <c r="Y528" s="37" t="n"/>
      <c r="Z528" s="38" t="n"/>
      <c r="AA528" s="29" t="n">
        <v>1116</v>
      </c>
      <c r="AB528" s="37" t="n"/>
      <c r="AC528" s="37" t="n"/>
      <c r="AD528" s="37" t="n"/>
      <c r="AE528" s="37" t="n"/>
      <c r="AF528" s="38" t="n"/>
      <c r="AG528" s="29" t="n">
        <v>1122</v>
      </c>
      <c r="AH528" s="37" t="n"/>
      <c r="AI528" s="38" t="n"/>
    </row>
    <row r="529" ht="17.1" customHeight="1" s="36">
      <c r="O529" s="28" t="inlineStr">
        <is>
          <t>MESJUAD002</t>
        </is>
      </c>
      <c r="P529" s="37" t="n"/>
      <c r="Q529" s="38" t="n"/>
      <c r="R529" s="28" t="inlineStr">
        <is>
          <t>010</t>
        </is>
      </c>
      <c r="S529" s="37" t="n"/>
      <c r="T529" s="37" t="n"/>
      <c r="U529" s="37" t="n"/>
      <c r="V529" s="38" t="n"/>
      <c r="W529" s="28" t="inlineStr">
        <is>
          <t>21 ans 40 ans</t>
        </is>
      </c>
      <c r="X529" s="37" t="n"/>
      <c r="Y529" s="37" t="n"/>
      <c r="Z529" s="38" t="n"/>
      <c r="AA529" s="29" t="n">
        <v>1495</v>
      </c>
      <c r="AB529" s="37" t="n"/>
      <c r="AC529" s="37" t="n"/>
      <c r="AD529" s="37" t="n"/>
      <c r="AE529" s="37" t="n"/>
      <c r="AF529" s="38" t="n"/>
      <c r="AG529" s="29" t="n">
        <v>1502</v>
      </c>
      <c r="AH529" s="37" t="n"/>
      <c r="AI529" s="38" t="n"/>
    </row>
    <row r="530" ht="17.1" customHeight="1" s="36">
      <c r="O530" s="28" t="inlineStr">
        <is>
          <t>MESJUAD002</t>
        </is>
      </c>
      <c r="P530" s="37" t="n"/>
      <c r="Q530" s="38" t="n"/>
      <c r="R530" s="28" t="inlineStr">
        <is>
          <t>010</t>
        </is>
      </c>
      <c r="S530" s="37" t="n"/>
      <c r="T530" s="37" t="n"/>
      <c r="U530" s="37" t="n"/>
      <c r="V530" s="38" t="n"/>
      <c r="W530" s="28" t="inlineStr">
        <is>
          <t>41 ans 60 ans</t>
        </is>
      </c>
      <c r="X530" s="37" t="n"/>
      <c r="Y530" s="37" t="n"/>
      <c r="Z530" s="38" t="n"/>
      <c r="AA530" s="29" t="n">
        <v>1585</v>
      </c>
      <c r="AB530" s="37" t="n"/>
      <c r="AC530" s="37" t="n"/>
      <c r="AD530" s="37" t="n"/>
      <c r="AE530" s="37" t="n"/>
      <c r="AF530" s="38" t="n"/>
      <c r="AG530" s="29" t="n">
        <v>1595</v>
      </c>
      <c r="AH530" s="37" t="n"/>
      <c r="AI530" s="38" t="n"/>
    </row>
    <row r="531" ht="17.1" customHeight="1" s="36">
      <c r="O531" s="28" t="inlineStr">
        <is>
          <t>MESJUAD002</t>
        </is>
      </c>
      <c r="P531" s="37" t="n"/>
      <c r="Q531" s="38" t="n"/>
      <c r="R531" s="28" t="inlineStr">
        <is>
          <t>010</t>
        </is>
      </c>
      <c r="S531" s="37" t="n"/>
      <c r="T531" s="37" t="n"/>
      <c r="U531" s="37" t="n"/>
      <c r="V531" s="38" t="n"/>
      <c r="W531" s="28" t="inlineStr">
        <is>
          <t>61 ans 80 ans</t>
        </is>
      </c>
      <c r="X531" s="37" t="n"/>
      <c r="Y531" s="37" t="n"/>
      <c r="Z531" s="38" t="n"/>
      <c r="AA531" s="29" t="n">
        <v>417</v>
      </c>
      <c r="AB531" s="37" t="n"/>
      <c r="AC531" s="37" t="n"/>
      <c r="AD531" s="37" t="n"/>
      <c r="AE531" s="37" t="n"/>
      <c r="AF531" s="38" t="n"/>
      <c r="AG531" s="29" t="n">
        <v>417</v>
      </c>
      <c r="AH531" s="37" t="n"/>
      <c r="AI531" s="38" t="n"/>
    </row>
    <row r="532" ht="17.1" customHeight="1" s="36">
      <c r="O532" s="28" t="inlineStr">
        <is>
          <t>MESJUAD002</t>
        </is>
      </c>
      <c r="P532" s="37" t="n"/>
      <c r="Q532" s="38" t="n"/>
      <c r="R532" s="28" t="inlineStr">
        <is>
          <t>010</t>
        </is>
      </c>
      <c r="S532" s="37" t="n"/>
      <c r="T532" s="37" t="n"/>
      <c r="U532" s="37" t="n"/>
      <c r="V532" s="38" t="n"/>
      <c r="W532" s="28" t="inlineStr">
        <is>
          <t>Plus de 80 ans</t>
        </is>
      </c>
      <c r="X532" s="37" t="n"/>
      <c r="Y532" s="37" t="n"/>
      <c r="Z532" s="38" t="n"/>
      <c r="AA532" s="29" t="n">
        <v>2</v>
      </c>
      <c r="AB532" s="37" t="n"/>
      <c r="AC532" s="37" t="n"/>
      <c r="AD532" s="37" t="n"/>
      <c r="AE532" s="37" t="n"/>
      <c r="AF532" s="38" t="n"/>
      <c r="AG532" s="29" t="n">
        <v>2</v>
      </c>
      <c r="AH532" s="37" t="n"/>
      <c r="AI532" s="38" t="n"/>
    </row>
    <row r="533" ht="17.1" customHeight="1" s="36">
      <c r="O533" s="28" t="inlineStr">
        <is>
          <t>MESJUAM005</t>
        </is>
      </c>
      <c r="P533" s="37" t="n"/>
      <c r="Q533" s="38" t="n"/>
      <c r="R533" s="28" t="inlineStr">
        <is>
          <t>010</t>
        </is>
      </c>
      <c r="S533" s="37" t="n"/>
      <c r="T533" s="37" t="n"/>
      <c r="U533" s="37" t="n"/>
      <c r="V533" s="38" t="n"/>
      <c r="W533" s="28" t="inlineStr">
        <is>
          <t>Moins de 20 ans</t>
        </is>
      </c>
      <c r="X533" s="37" t="n"/>
      <c r="Y533" s="37" t="n"/>
      <c r="Z533" s="38" t="n"/>
      <c r="AA533" s="29" t="n">
        <v>2</v>
      </c>
      <c r="AB533" s="37" t="n"/>
      <c r="AC533" s="37" t="n"/>
      <c r="AD533" s="37" t="n"/>
      <c r="AE533" s="37" t="n"/>
      <c r="AF533" s="38" t="n"/>
      <c r="AG533" s="29" t="n">
        <v>2</v>
      </c>
      <c r="AH533" s="37" t="n"/>
      <c r="AI533" s="38" t="n"/>
    </row>
    <row r="534" ht="17.1" customHeight="1" s="36">
      <c r="O534" s="28" t="inlineStr">
        <is>
          <t>MESJUAM005</t>
        </is>
      </c>
      <c r="P534" s="37" t="n"/>
      <c r="Q534" s="38" t="n"/>
      <c r="R534" s="28" t="inlineStr">
        <is>
          <t>010</t>
        </is>
      </c>
      <c r="S534" s="37" t="n"/>
      <c r="T534" s="37" t="n"/>
      <c r="U534" s="37" t="n"/>
      <c r="V534" s="38" t="n"/>
      <c r="W534" s="28" t="inlineStr">
        <is>
          <t>21 ans 40 ans</t>
        </is>
      </c>
      <c r="X534" s="37" t="n"/>
      <c r="Y534" s="37" t="n"/>
      <c r="Z534" s="38" t="n"/>
      <c r="AA534" s="29" t="n">
        <v>4</v>
      </c>
      <c r="AB534" s="37" t="n"/>
      <c r="AC534" s="37" t="n"/>
      <c r="AD534" s="37" t="n"/>
      <c r="AE534" s="37" t="n"/>
      <c r="AF534" s="38" t="n"/>
      <c r="AG534" s="29" t="n">
        <v>4</v>
      </c>
      <c r="AH534" s="37" t="n"/>
      <c r="AI534" s="38" t="n"/>
    </row>
    <row r="535" ht="17.1" customHeight="1" s="36">
      <c r="O535" s="28" t="inlineStr">
        <is>
          <t>MESLAD46</t>
        </is>
      </c>
      <c r="P535" s="37" t="n"/>
      <c r="Q535" s="38" t="n"/>
      <c r="R535" s="28" t="inlineStr">
        <is>
          <t>052</t>
        </is>
      </c>
      <c r="S535" s="37" t="n"/>
      <c r="T535" s="37" t="n"/>
      <c r="U535" s="37" t="n"/>
      <c r="V535" s="38" t="n"/>
      <c r="W535" s="28" t="inlineStr">
        <is>
          <t>Moins de 20 ans</t>
        </is>
      </c>
      <c r="X535" s="37" t="n"/>
      <c r="Y535" s="37" t="n"/>
      <c r="Z535" s="38" t="n"/>
      <c r="AA535" s="29" t="n">
        <v>171</v>
      </c>
      <c r="AB535" s="37" t="n"/>
      <c r="AC535" s="37" t="n"/>
      <c r="AD535" s="37" t="n"/>
      <c r="AE535" s="37" t="n"/>
      <c r="AF535" s="38" t="n"/>
      <c r="AG535" s="29" t="n">
        <v>171</v>
      </c>
      <c r="AH535" s="37" t="n"/>
      <c r="AI535" s="38" t="n"/>
    </row>
    <row r="536" ht="17.1" customHeight="1" s="36">
      <c r="O536" s="28" t="inlineStr">
        <is>
          <t>MESLAD46</t>
        </is>
      </c>
      <c r="P536" s="37" t="n"/>
      <c r="Q536" s="38" t="n"/>
      <c r="R536" s="28" t="inlineStr">
        <is>
          <t>052</t>
        </is>
      </c>
      <c r="S536" s="37" t="n"/>
      <c r="T536" s="37" t="n"/>
      <c r="U536" s="37" t="n"/>
      <c r="V536" s="38" t="n"/>
      <c r="W536" s="28" t="inlineStr">
        <is>
          <t>21 ans 40 ans</t>
        </is>
      </c>
      <c r="X536" s="37" t="n"/>
      <c r="Y536" s="37" t="n"/>
      <c r="Z536" s="38" t="n"/>
      <c r="AA536" s="29" t="n">
        <v>194</v>
      </c>
      <c r="AB536" s="37" t="n"/>
      <c r="AC536" s="37" t="n"/>
      <c r="AD536" s="37" t="n"/>
      <c r="AE536" s="37" t="n"/>
      <c r="AF536" s="38" t="n"/>
      <c r="AG536" s="29" t="n">
        <v>194</v>
      </c>
      <c r="AH536" s="37" t="n"/>
      <c r="AI536" s="38" t="n"/>
    </row>
    <row r="537" ht="17.1" customHeight="1" s="36">
      <c r="O537" s="28" t="inlineStr">
        <is>
          <t>MESLAD46</t>
        </is>
      </c>
      <c r="P537" s="37" t="n"/>
      <c r="Q537" s="38" t="n"/>
      <c r="R537" s="28" t="inlineStr">
        <is>
          <t>052</t>
        </is>
      </c>
      <c r="S537" s="37" t="n"/>
      <c r="T537" s="37" t="n"/>
      <c r="U537" s="37" t="n"/>
      <c r="V537" s="38" t="n"/>
      <c r="W537" s="28" t="inlineStr">
        <is>
          <t>41 ans 60 ans</t>
        </is>
      </c>
      <c r="X537" s="37" t="n"/>
      <c r="Y537" s="37" t="n"/>
      <c r="Z537" s="38" t="n"/>
      <c r="AA537" s="29" t="n">
        <v>372</v>
      </c>
      <c r="AB537" s="37" t="n"/>
      <c r="AC537" s="37" t="n"/>
      <c r="AD537" s="37" t="n"/>
      <c r="AE537" s="37" t="n"/>
      <c r="AF537" s="38" t="n"/>
      <c r="AG537" s="29" t="n">
        <v>372</v>
      </c>
      <c r="AH537" s="37" t="n"/>
      <c r="AI537" s="38" t="n"/>
    </row>
    <row r="538" ht="17.1" customHeight="1" s="36">
      <c r="O538" s="28" t="inlineStr">
        <is>
          <t>MESLAD46</t>
        </is>
      </c>
      <c r="P538" s="37" t="n"/>
      <c r="Q538" s="38" t="n"/>
      <c r="R538" s="28" t="inlineStr">
        <is>
          <t>052</t>
        </is>
      </c>
      <c r="S538" s="37" t="n"/>
      <c r="T538" s="37" t="n"/>
      <c r="U538" s="37" t="n"/>
      <c r="V538" s="38" t="n"/>
      <c r="W538" s="28" t="inlineStr">
        <is>
          <t>61 ans 80 ans</t>
        </is>
      </c>
      <c r="X538" s="37" t="n"/>
      <c r="Y538" s="37" t="n"/>
      <c r="Z538" s="38" t="n"/>
      <c r="AA538" s="29" t="n">
        <v>109</v>
      </c>
      <c r="AB538" s="37" t="n"/>
      <c r="AC538" s="37" t="n"/>
      <c r="AD538" s="37" t="n"/>
      <c r="AE538" s="37" t="n"/>
      <c r="AF538" s="38" t="n"/>
      <c r="AG538" s="29" t="n">
        <v>109</v>
      </c>
      <c r="AH538" s="37" t="n"/>
      <c r="AI538" s="38" t="n"/>
    </row>
    <row r="539" ht="17.1" customHeight="1" s="36">
      <c r="O539" s="28" t="inlineStr">
        <is>
          <t>MESMEAE102</t>
        </is>
      </c>
      <c r="P539" s="37" t="n"/>
      <c r="Q539" s="38" t="n"/>
      <c r="R539" s="28" t="inlineStr">
        <is>
          <t>044</t>
        </is>
      </c>
      <c r="S539" s="37" t="n"/>
      <c r="T539" s="37" t="n"/>
      <c r="U539" s="37" t="n"/>
      <c r="V539" s="38" t="n"/>
      <c r="W539" s="28" t="inlineStr">
        <is>
          <t>Moins de 20 ans</t>
        </is>
      </c>
      <c r="X539" s="37" t="n"/>
      <c r="Y539" s="37" t="n"/>
      <c r="Z539" s="38" t="n"/>
      <c r="AA539" s="29" t="n">
        <v>5005</v>
      </c>
      <c r="AB539" s="37" t="n"/>
      <c r="AC539" s="37" t="n"/>
      <c r="AD539" s="37" t="n"/>
      <c r="AE539" s="37" t="n"/>
      <c r="AF539" s="38" t="n"/>
      <c r="AG539" s="29" t="n">
        <v>5355</v>
      </c>
      <c r="AH539" s="37" t="n"/>
      <c r="AI539" s="38" t="n"/>
    </row>
    <row r="540" ht="17.1" customHeight="1" s="36">
      <c r="O540" s="28" t="inlineStr">
        <is>
          <t>MESMEAE102</t>
        </is>
      </c>
      <c r="P540" s="37" t="n"/>
      <c r="Q540" s="38" t="n"/>
      <c r="R540" s="28" t="inlineStr">
        <is>
          <t>044</t>
        </is>
      </c>
      <c r="S540" s="37" t="n"/>
      <c r="T540" s="37" t="n"/>
      <c r="U540" s="37" t="n"/>
      <c r="V540" s="38" t="n"/>
      <c r="W540" s="28" t="inlineStr">
        <is>
          <t>21 ans 40 ans</t>
        </is>
      </c>
      <c r="X540" s="37" t="n"/>
      <c r="Y540" s="37" t="n"/>
      <c r="Z540" s="38" t="n"/>
      <c r="AA540" s="29" t="n">
        <v>2497</v>
      </c>
      <c r="AB540" s="37" t="n"/>
      <c r="AC540" s="37" t="n"/>
      <c r="AD540" s="37" t="n"/>
      <c r="AE540" s="37" t="n"/>
      <c r="AF540" s="38" t="n"/>
      <c r="AG540" s="29" t="n">
        <v>2821</v>
      </c>
      <c r="AH540" s="37" t="n"/>
      <c r="AI540" s="38" t="n"/>
    </row>
    <row r="541" ht="17.1" customHeight="1" s="36">
      <c r="O541" s="28" t="inlineStr">
        <is>
          <t>MESMEAE102</t>
        </is>
      </c>
      <c r="P541" s="37" t="n"/>
      <c r="Q541" s="38" t="n"/>
      <c r="R541" s="28" t="inlineStr">
        <is>
          <t>044</t>
        </is>
      </c>
      <c r="S541" s="37" t="n"/>
      <c r="T541" s="37" t="n"/>
      <c r="U541" s="37" t="n"/>
      <c r="V541" s="38" t="n"/>
      <c r="W541" s="28" t="inlineStr">
        <is>
          <t>41 ans 60 ans</t>
        </is>
      </c>
      <c r="X541" s="37" t="n"/>
      <c r="Y541" s="37" t="n"/>
      <c r="Z541" s="38" t="n"/>
      <c r="AA541" s="29" t="n">
        <v>7599</v>
      </c>
      <c r="AB541" s="37" t="n"/>
      <c r="AC541" s="37" t="n"/>
      <c r="AD541" s="37" t="n"/>
      <c r="AE541" s="37" t="n"/>
      <c r="AF541" s="38" t="n"/>
      <c r="AG541" s="29" t="n">
        <v>8136</v>
      </c>
      <c r="AH541" s="37" t="n"/>
      <c r="AI541" s="38" t="n"/>
    </row>
    <row r="542" ht="17.1" customHeight="1" s="36">
      <c r="O542" s="28" t="inlineStr">
        <is>
          <t>MESMEAE102</t>
        </is>
      </c>
      <c r="P542" s="37" t="n"/>
      <c r="Q542" s="38" t="n"/>
      <c r="R542" s="28" t="inlineStr">
        <is>
          <t>044</t>
        </is>
      </c>
      <c r="S542" s="37" t="n"/>
      <c r="T542" s="37" t="n"/>
      <c r="U542" s="37" t="n"/>
      <c r="V542" s="38" t="n"/>
      <c r="W542" s="28" t="inlineStr">
        <is>
          <t>61 ans 80 ans</t>
        </is>
      </c>
      <c r="X542" s="37" t="n"/>
      <c r="Y542" s="37" t="n"/>
      <c r="Z542" s="38" t="n"/>
      <c r="AA542" s="29" t="n">
        <v>1254</v>
      </c>
      <c r="AB542" s="37" t="n"/>
      <c r="AC542" s="37" t="n"/>
      <c r="AD542" s="37" t="n"/>
      <c r="AE542" s="37" t="n"/>
      <c r="AF542" s="38" t="n"/>
      <c r="AG542" s="29" t="n">
        <v>1283</v>
      </c>
      <c r="AH542" s="37" t="n"/>
      <c r="AI542" s="38" t="n"/>
    </row>
    <row r="543" ht="17.1" customHeight="1" s="36">
      <c r="O543" s="28" t="inlineStr">
        <is>
          <t>MESMEAE202</t>
        </is>
      </c>
      <c r="P543" s="37" t="n"/>
      <c r="Q543" s="38" t="n"/>
      <c r="R543" s="28" t="inlineStr">
        <is>
          <t>044</t>
        </is>
      </c>
      <c r="S543" s="37" t="n"/>
      <c r="T543" s="37" t="n"/>
      <c r="U543" s="37" t="n"/>
      <c r="V543" s="38" t="n"/>
      <c r="W543" s="28" t="inlineStr">
        <is>
          <t>Moins de 20 ans</t>
        </is>
      </c>
      <c r="X543" s="37" t="n"/>
      <c r="Y543" s="37" t="n"/>
      <c r="Z543" s="38" t="n"/>
      <c r="AA543" s="29" t="n">
        <v>1453</v>
      </c>
      <c r="AB543" s="37" t="n"/>
      <c r="AC543" s="37" t="n"/>
      <c r="AD543" s="37" t="n"/>
      <c r="AE543" s="37" t="n"/>
      <c r="AF543" s="38" t="n"/>
      <c r="AG543" s="29" t="n">
        <v>1511</v>
      </c>
      <c r="AH543" s="37" t="n"/>
      <c r="AI543" s="38" t="n"/>
    </row>
    <row r="544" ht="17.1" customHeight="1" s="36">
      <c r="O544" s="28" t="inlineStr">
        <is>
          <t>MESMEAE202</t>
        </is>
      </c>
      <c r="P544" s="37" t="n"/>
      <c r="Q544" s="38" t="n"/>
      <c r="R544" s="28" t="inlineStr">
        <is>
          <t>044</t>
        </is>
      </c>
      <c r="S544" s="37" t="n"/>
      <c r="T544" s="37" t="n"/>
      <c r="U544" s="37" t="n"/>
      <c r="V544" s="38" t="n"/>
      <c r="W544" s="28" t="inlineStr">
        <is>
          <t>21 ans 40 ans</t>
        </is>
      </c>
      <c r="X544" s="37" t="n"/>
      <c r="Y544" s="37" t="n"/>
      <c r="Z544" s="38" t="n"/>
      <c r="AA544" s="29" t="n">
        <v>1906</v>
      </c>
      <c r="AB544" s="37" t="n"/>
      <c r="AC544" s="37" t="n"/>
      <c r="AD544" s="37" t="n"/>
      <c r="AE544" s="37" t="n"/>
      <c r="AF544" s="38" t="n"/>
      <c r="AG544" s="29" t="n">
        <v>1968</v>
      </c>
      <c r="AH544" s="37" t="n"/>
      <c r="AI544" s="38" t="n"/>
    </row>
    <row r="545" ht="17.1" customHeight="1" s="36">
      <c r="O545" s="28" t="inlineStr">
        <is>
          <t>MESMEAE202</t>
        </is>
      </c>
      <c r="P545" s="37" t="n"/>
      <c r="Q545" s="38" t="n"/>
      <c r="R545" s="28" t="inlineStr">
        <is>
          <t>044</t>
        </is>
      </c>
      <c r="S545" s="37" t="n"/>
      <c r="T545" s="37" t="n"/>
      <c r="U545" s="37" t="n"/>
      <c r="V545" s="38" t="n"/>
      <c r="W545" s="28" t="inlineStr">
        <is>
          <t>41 ans 60 ans</t>
        </is>
      </c>
      <c r="X545" s="37" t="n"/>
      <c r="Y545" s="37" t="n"/>
      <c r="Z545" s="38" t="n"/>
      <c r="AA545" s="29" t="n">
        <v>2342</v>
      </c>
      <c r="AB545" s="37" t="n"/>
      <c r="AC545" s="37" t="n"/>
      <c r="AD545" s="37" t="n"/>
      <c r="AE545" s="37" t="n"/>
      <c r="AF545" s="38" t="n"/>
      <c r="AG545" s="29" t="n">
        <v>2484</v>
      </c>
      <c r="AH545" s="37" t="n"/>
      <c r="AI545" s="38" t="n"/>
    </row>
    <row r="546" ht="17.1" customHeight="1" s="36">
      <c r="O546" s="28" t="inlineStr">
        <is>
          <t>MESMEAE202</t>
        </is>
      </c>
      <c r="P546" s="37" t="n"/>
      <c r="Q546" s="38" t="n"/>
      <c r="R546" s="28" t="inlineStr">
        <is>
          <t>044</t>
        </is>
      </c>
      <c r="S546" s="37" t="n"/>
      <c r="T546" s="37" t="n"/>
      <c r="U546" s="37" t="n"/>
      <c r="V546" s="38" t="n"/>
      <c r="W546" s="28" t="inlineStr">
        <is>
          <t>61 ans 80 ans</t>
        </is>
      </c>
      <c r="X546" s="37" t="n"/>
      <c r="Y546" s="37" t="n"/>
      <c r="Z546" s="38" t="n"/>
      <c r="AA546" s="29" t="n">
        <v>611</v>
      </c>
      <c r="AB546" s="37" t="n"/>
      <c r="AC546" s="37" t="n"/>
      <c r="AD546" s="37" t="n"/>
      <c r="AE546" s="37" t="n"/>
      <c r="AF546" s="38" t="n"/>
      <c r="AG546" s="29" t="n">
        <v>637</v>
      </c>
      <c r="AH546" s="37" t="n"/>
      <c r="AI546" s="38" t="n"/>
    </row>
    <row r="547" ht="17.1" customHeight="1" s="36">
      <c r="O547" s="28" t="inlineStr">
        <is>
          <t>MESMEAE202</t>
        </is>
      </c>
      <c r="P547" s="37" t="n"/>
      <c r="Q547" s="38" t="n"/>
      <c r="R547" s="28" t="inlineStr">
        <is>
          <t>044</t>
        </is>
      </c>
      <c r="S547" s="37" t="n"/>
      <c r="T547" s="37" t="n"/>
      <c r="U547" s="37" t="n"/>
      <c r="V547" s="38" t="n"/>
      <c r="W547" s="28" t="inlineStr">
        <is>
          <t>Plus de 80 ans</t>
        </is>
      </c>
      <c r="X547" s="37" t="n"/>
      <c r="Y547" s="37" t="n"/>
      <c r="Z547" s="38" t="n"/>
      <c r="AA547" s="29" t="n">
        <v>1</v>
      </c>
      <c r="AB547" s="37" t="n"/>
      <c r="AC547" s="37" t="n"/>
      <c r="AD547" s="37" t="n"/>
      <c r="AE547" s="37" t="n"/>
      <c r="AF547" s="38" t="n"/>
      <c r="AG547" s="29" t="n">
        <v>1</v>
      </c>
      <c r="AH547" s="37" t="n"/>
      <c r="AI547" s="38" t="n"/>
    </row>
    <row r="548" ht="17.1" customHeight="1" s="36">
      <c r="O548" s="28" t="inlineStr">
        <is>
          <t>MESMEAE301</t>
        </is>
      </c>
      <c r="P548" s="37" t="n"/>
      <c r="Q548" s="38" t="n"/>
      <c r="R548" s="28" t="inlineStr">
        <is>
          <t>044</t>
        </is>
      </c>
      <c r="S548" s="37" t="n"/>
      <c r="T548" s="37" t="n"/>
      <c r="U548" s="37" t="n"/>
      <c r="V548" s="38" t="n"/>
      <c r="W548" s="28" t="inlineStr">
        <is>
          <t>61 ans 80 ans</t>
        </is>
      </c>
      <c r="X548" s="37" t="n"/>
      <c r="Y548" s="37" t="n"/>
      <c r="Z548" s="38" t="n"/>
      <c r="AA548" s="29" t="n">
        <v>1</v>
      </c>
      <c r="AB548" s="37" t="n"/>
      <c r="AC548" s="37" t="n"/>
      <c r="AD548" s="37" t="n"/>
      <c r="AE548" s="37" t="n"/>
      <c r="AF548" s="38" t="n"/>
      <c r="AG548" s="29" t="n">
        <v>1</v>
      </c>
      <c r="AH548" s="37" t="n"/>
      <c r="AI548" s="38" t="n"/>
    </row>
    <row r="549" ht="17.1" customHeight="1" s="36">
      <c r="O549" s="28" t="inlineStr">
        <is>
          <t>MESMEN001</t>
        </is>
      </c>
      <c r="P549" s="37" t="n"/>
      <c r="Q549" s="38" t="n"/>
      <c r="R549" s="28" t="inlineStr">
        <is>
          <t>010</t>
        </is>
      </c>
      <c r="S549" s="37" t="n"/>
      <c r="T549" s="37" t="n"/>
      <c r="U549" s="37" t="n"/>
      <c r="V549" s="38" t="n"/>
      <c r="W549" s="28" t="inlineStr">
        <is>
          <t>Moins de 20 ans</t>
        </is>
      </c>
      <c r="X549" s="37" t="n"/>
      <c r="Y549" s="37" t="n"/>
      <c r="Z549" s="38" t="n"/>
      <c r="AA549" s="29" t="n">
        <v>484683</v>
      </c>
      <c r="AB549" s="37" t="n"/>
      <c r="AC549" s="37" t="n"/>
      <c r="AD549" s="37" t="n"/>
      <c r="AE549" s="37" t="n"/>
      <c r="AF549" s="38" t="n"/>
      <c r="AG549" s="29" t="n">
        <v>487956</v>
      </c>
      <c r="AH549" s="37" t="n"/>
      <c r="AI549" s="38" t="n"/>
    </row>
    <row r="550" ht="17.1" customHeight="1" s="36">
      <c r="O550" s="28" t="inlineStr">
        <is>
          <t>MESMEN001</t>
        </is>
      </c>
      <c r="P550" s="37" t="n"/>
      <c r="Q550" s="38" t="n"/>
      <c r="R550" s="28" t="inlineStr">
        <is>
          <t>010</t>
        </is>
      </c>
      <c r="S550" s="37" t="n"/>
      <c r="T550" s="37" t="n"/>
      <c r="U550" s="37" t="n"/>
      <c r="V550" s="38" t="n"/>
      <c r="W550" s="28" t="inlineStr">
        <is>
          <t>21 ans 40 ans</t>
        </is>
      </c>
      <c r="X550" s="37" t="n"/>
      <c r="Y550" s="37" t="n"/>
      <c r="Z550" s="38" t="n"/>
      <c r="AA550" s="29" t="n">
        <v>484825</v>
      </c>
      <c r="AB550" s="37" t="n"/>
      <c r="AC550" s="37" t="n"/>
      <c r="AD550" s="37" t="n"/>
      <c r="AE550" s="37" t="n"/>
      <c r="AF550" s="38" t="n"/>
      <c r="AG550" s="29" t="n">
        <v>486126</v>
      </c>
      <c r="AH550" s="37" t="n"/>
      <c r="AI550" s="38" t="n"/>
    </row>
    <row r="551" ht="17.1" customHeight="1" s="36">
      <c r="O551" s="28" t="inlineStr">
        <is>
          <t>MESMEN001</t>
        </is>
      </c>
      <c r="P551" s="37" t="n"/>
      <c r="Q551" s="38" t="n"/>
      <c r="R551" s="28" t="inlineStr">
        <is>
          <t>010</t>
        </is>
      </c>
      <c r="S551" s="37" t="n"/>
      <c r="T551" s="37" t="n"/>
      <c r="U551" s="37" t="n"/>
      <c r="V551" s="38" t="n"/>
      <c r="W551" s="28" t="inlineStr">
        <is>
          <t>41 ans 60 ans</t>
        </is>
      </c>
      <c r="X551" s="37" t="n"/>
      <c r="Y551" s="37" t="n"/>
      <c r="Z551" s="38" t="n"/>
      <c r="AA551" s="29" t="n">
        <v>747787</v>
      </c>
      <c r="AB551" s="37" t="n"/>
      <c r="AC551" s="37" t="n"/>
      <c r="AD551" s="37" t="n"/>
      <c r="AE551" s="37" t="n"/>
      <c r="AF551" s="38" t="n"/>
      <c r="AG551" s="29" t="n">
        <v>748727</v>
      </c>
      <c r="AH551" s="37" t="n"/>
      <c r="AI551" s="38" t="n"/>
    </row>
    <row r="552" ht="17.1" customHeight="1" s="36">
      <c r="O552" s="28" t="inlineStr">
        <is>
          <t>MESMEN001</t>
        </is>
      </c>
      <c r="P552" s="37" t="n"/>
      <c r="Q552" s="38" t="n"/>
      <c r="R552" s="28" t="inlineStr">
        <is>
          <t>010</t>
        </is>
      </c>
      <c r="S552" s="37" t="n"/>
      <c r="T552" s="37" t="n"/>
      <c r="U552" s="37" t="n"/>
      <c r="V552" s="38" t="n"/>
      <c r="W552" s="28" t="inlineStr">
        <is>
          <t>61 ans 80 ans</t>
        </is>
      </c>
      <c r="X552" s="37" t="n"/>
      <c r="Y552" s="37" t="n"/>
      <c r="Z552" s="38" t="n"/>
      <c r="AA552" s="29" t="n">
        <v>113744</v>
      </c>
      <c r="AB552" s="37" t="n"/>
      <c r="AC552" s="37" t="n"/>
      <c r="AD552" s="37" t="n"/>
      <c r="AE552" s="37" t="n"/>
      <c r="AF552" s="38" t="n"/>
      <c r="AG552" s="29" t="n">
        <v>114043</v>
      </c>
      <c r="AH552" s="37" t="n"/>
      <c r="AI552" s="38" t="n"/>
    </row>
    <row r="553" ht="17.1" customHeight="1" s="36">
      <c r="O553" s="28" t="inlineStr">
        <is>
          <t>MESMEN001</t>
        </is>
      </c>
      <c r="P553" s="37" t="n"/>
      <c r="Q553" s="38" t="n"/>
      <c r="R553" s="28" t="inlineStr">
        <is>
          <t>010</t>
        </is>
      </c>
      <c r="S553" s="37" t="n"/>
      <c r="T553" s="37" t="n"/>
      <c r="U553" s="37" t="n"/>
      <c r="V553" s="38" t="n"/>
      <c r="W553" s="28" t="inlineStr">
        <is>
          <t>Plus de 80 ans</t>
        </is>
      </c>
      <c r="X553" s="37" t="n"/>
      <c r="Y553" s="37" t="n"/>
      <c r="Z553" s="38" t="n"/>
      <c r="AA553" s="29" t="n">
        <v>233</v>
      </c>
      <c r="AB553" s="37" t="n"/>
      <c r="AC553" s="37" t="n"/>
      <c r="AD553" s="37" t="n"/>
      <c r="AE553" s="37" t="n"/>
      <c r="AF553" s="38" t="n"/>
      <c r="AG553" s="29" t="n">
        <v>240</v>
      </c>
      <c r="AH553" s="37" t="n"/>
      <c r="AI553" s="38" t="n"/>
    </row>
    <row r="554" ht="17.1" customHeight="1" s="36">
      <c r="O554" s="28" t="inlineStr">
        <is>
          <t>MESMEN001</t>
        </is>
      </c>
      <c r="P554" s="37" t="n"/>
      <c r="Q554" s="38" t="n"/>
      <c r="R554" s="28" t="inlineStr">
        <is>
          <t>010</t>
        </is>
      </c>
      <c r="S554" s="37" t="n"/>
      <c r="T554" s="37" t="n"/>
      <c r="U554" s="37" t="n"/>
      <c r="V554" s="38" t="n"/>
      <c r="W554" s="28" t="n"/>
      <c r="X554" s="37" t="n"/>
      <c r="Y554" s="37" t="n"/>
      <c r="Z554" s="38" t="n"/>
      <c r="AA554" s="29" t="n"/>
      <c r="AB554" s="37" t="n"/>
      <c r="AC554" s="37" t="n"/>
      <c r="AD554" s="37" t="n"/>
      <c r="AE554" s="37" t="n"/>
      <c r="AF554" s="38" t="n"/>
      <c r="AG554" s="29" t="n">
        <v>6</v>
      </c>
      <c r="AH554" s="37" t="n"/>
      <c r="AI554" s="38" t="n"/>
    </row>
    <row r="555" ht="17.1" customHeight="1" s="36">
      <c r="O555" s="28" t="inlineStr">
        <is>
          <t>MESMEN2003</t>
        </is>
      </c>
      <c r="P555" s="37" t="n"/>
      <c r="Q555" s="38" t="n"/>
      <c r="R555" s="28" t="inlineStr">
        <is>
          <t>010</t>
        </is>
      </c>
      <c r="S555" s="37" t="n"/>
      <c r="T555" s="37" t="n"/>
      <c r="U555" s="37" t="n"/>
      <c r="V555" s="38" t="n"/>
      <c r="W555" s="28" t="inlineStr">
        <is>
          <t>Moins de 20 ans</t>
        </is>
      </c>
      <c r="X555" s="37" t="n"/>
      <c r="Y555" s="37" t="n"/>
      <c r="Z555" s="38" t="n"/>
      <c r="AA555" s="29" t="n">
        <v>2111</v>
      </c>
      <c r="AB555" s="37" t="n"/>
      <c r="AC555" s="37" t="n"/>
      <c r="AD555" s="37" t="n"/>
      <c r="AE555" s="37" t="n"/>
      <c r="AF555" s="38" t="n"/>
      <c r="AG555" s="29" t="n">
        <v>2118</v>
      </c>
      <c r="AH555" s="37" t="n"/>
      <c r="AI555" s="38" t="n"/>
    </row>
    <row r="556" ht="17.1" customHeight="1" s="36">
      <c r="O556" s="28" t="inlineStr">
        <is>
          <t>MESMEN2003</t>
        </is>
      </c>
      <c r="P556" s="37" t="n"/>
      <c r="Q556" s="38" t="n"/>
      <c r="R556" s="28" t="inlineStr">
        <is>
          <t>010</t>
        </is>
      </c>
      <c r="S556" s="37" t="n"/>
      <c r="T556" s="37" t="n"/>
      <c r="U556" s="37" t="n"/>
      <c r="V556" s="38" t="n"/>
      <c r="W556" s="28" t="inlineStr">
        <is>
          <t>21 ans 40 ans</t>
        </is>
      </c>
      <c r="X556" s="37" t="n"/>
      <c r="Y556" s="37" t="n"/>
      <c r="Z556" s="38" t="n"/>
      <c r="AA556" s="29" t="n">
        <v>1382</v>
      </c>
      <c r="AB556" s="37" t="n"/>
      <c r="AC556" s="37" t="n"/>
      <c r="AD556" s="37" t="n"/>
      <c r="AE556" s="37" t="n"/>
      <c r="AF556" s="38" t="n"/>
      <c r="AG556" s="29" t="n">
        <v>1383</v>
      </c>
      <c r="AH556" s="37" t="n"/>
      <c r="AI556" s="38" t="n"/>
    </row>
    <row r="557" ht="17.1" customHeight="1" s="36">
      <c r="O557" s="28" t="inlineStr">
        <is>
          <t>MESMEN2003</t>
        </is>
      </c>
      <c r="P557" s="37" t="n"/>
      <c r="Q557" s="38" t="n"/>
      <c r="R557" s="28" t="inlineStr">
        <is>
          <t>010</t>
        </is>
      </c>
      <c r="S557" s="37" t="n"/>
      <c r="T557" s="37" t="n"/>
      <c r="U557" s="37" t="n"/>
      <c r="V557" s="38" t="n"/>
      <c r="W557" s="28" t="inlineStr">
        <is>
          <t>41 ans 60 ans</t>
        </is>
      </c>
      <c r="X557" s="37" t="n"/>
      <c r="Y557" s="37" t="n"/>
      <c r="Z557" s="38" t="n"/>
      <c r="AA557" s="29" t="n">
        <v>3167</v>
      </c>
      <c r="AB557" s="37" t="n"/>
      <c r="AC557" s="37" t="n"/>
      <c r="AD557" s="37" t="n"/>
      <c r="AE557" s="37" t="n"/>
      <c r="AF557" s="38" t="n"/>
      <c r="AG557" s="29" t="n">
        <v>3169</v>
      </c>
      <c r="AH557" s="37" t="n"/>
      <c r="AI557" s="38" t="n"/>
    </row>
    <row r="558" ht="17.1" customHeight="1" s="36">
      <c r="O558" s="28" t="inlineStr">
        <is>
          <t>MESMEN2003</t>
        </is>
      </c>
      <c r="P558" s="37" t="n"/>
      <c r="Q558" s="38" t="n"/>
      <c r="R558" s="28" t="inlineStr">
        <is>
          <t>010</t>
        </is>
      </c>
      <c r="S558" s="37" t="n"/>
      <c r="T558" s="37" t="n"/>
      <c r="U558" s="37" t="n"/>
      <c r="V558" s="38" t="n"/>
      <c r="W558" s="28" t="inlineStr">
        <is>
          <t>61 ans 80 ans</t>
        </is>
      </c>
      <c r="X558" s="37" t="n"/>
      <c r="Y558" s="37" t="n"/>
      <c r="Z558" s="38" t="n"/>
      <c r="AA558" s="29" t="n">
        <v>453</v>
      </c>
      <c r="AB558" s="37" t="n"/>
      <c r="AC558" s="37" t="n"/>
      <c r="AD558" s="37" t="n"/>
      <c r="AE558" s="37" t="n"/>
      <c r="AF558" s="38" t="n"/>
      <c r="AG558" s="29" t="n">
        <v>453</v>
      </c>
      <c r="AH558" s="37" t="n"/>
      <c r="AI558" s="38" t="n"/>
    </row>
    <row r="559" ht="17.1" customHeight="1" s="36">
      <c r="O559" s="28" t="inlineStr">
        <is>
          <t>MESMEN3001</t>
        </is>
      </c>
      <c r="P559" s="37" t="n"/>
      <c r="Q559" s="38" t="n"/>
      <c r="R559" s="28" t="inlineStr">
        <is>
          <t>010</t>
        </is>
      </c>
      <c r="S559" s="37" t="n"/>
      <c r="T559" s="37" t="n"/>
      <c r="U559" s="37" t="n"/>
      <c r="V559" s="38" t="n"/>
      <c r="W559" s="28" t="inlineStr">
        <is>
          <t>Moins de 20 ans</t>
        </is>
      </c>
      <c r="X559" s="37" t="n"/>
      <c r="Y559" s="37" t="n"/>
      <c r="Z559" s="38" t="n"/>
      <c r="AA559" s="29" t="n">
        <v>346</v>
      </c>
      <c r="AB559" s="37" t="n"/>
      <c r="AC559" s="37" t="n"/>
      <c r="AD559" s="37" t="n"/>
      <c r="AE559" s="37" t="n"/>
      <c r="AF559" s="38" t="n"/>
      <c r="AG559" s="29" t="n">
        <v>351</v>
      </c>
      <c r="AH559" s="37" t="n"/>
      <c r="AI559" s="38" t="n"/>
    </row>
    <row r="560" ht="17.1" customHeight="1" s="36">
      <c r="O560" s="28" t="inlineStr">
        <is>
          <t>MESMEN3001</t>
        </is>
      </c>
      <c r="P560" s="37" t="n"/>
      <c r="Q560" s="38" t="n"/>
      <c r="R560" s="28" t="inlineStr">
        <is>
          <t>010</t>
        </is>
      </c>
      <c r="S560" s="37" t="n"/>
      <c r="T560" s="37" t="n"/>
      <c r="U560" s="37" t="n"/>
      <c r="V560" s="38" t="n"/>
      <c r="W560" s="28" t="inlineStr">
        <is>
          <t>21 ans 40 ans</t>
        </is>
      </c>
      <c r="X560" s="37" t="n"/>
      <c r="Y560" s="37" t="n"/>
      <c r="Z560" s="38" t="n"/>
      <c r="AA560" s="29" t="n">
        <v>229</v>
      </c>
      <c r="AB560" s="37" t="n"/>
      <c r="AC560" s="37" t="n"/>
      <c r="AD560" s="37" t="n"/>
      <c r="AE560" s="37" t="n"/>
      <c r="AF560" s="38" t="n"/>
      <c r="AG560" s="29" t="n">
        <v>230</v>
      </c>
      <c r="AH560" s="37" t="n"/>
      <c r="AI560" s="38" t="n"/>
    </row>
    <row r="561" ht="17.1" customHeight="1" s="36">
      <c r="O561" s="28" t="inlineStr">
        <is>
          <t>MESMEN3001</t>
        </is>
      </c>
      <c r="P561" s="37" t="n"/>
      <c r="Q561" s="38" t="n"/>
      <c r="R561" s="28" t="inlineStr">
        <is>
          <t>010</t>
        </is>
      </c>
      <c r="S561" s="37" t="n"/>
      <c r="T561" s="37" t="n"/>
      <c r="U561" s="37" t="n"/>
      <c r="V561" s="38" t="n"/>
      <c r="W561" s="28" t="inlineStr">
        <is>
          <t>41 ans 60 ans</t>
        </is>
      </c>
      <c r="X561" s="37" t="n"/>
      <c r="Y561" s="37" t="n"/>
      <c r="Z561" s="38" t="n"/>
      <c r="AA561" s="29" t="n">
        <v>624</v>
      </c>
      <c r="AB561" s="37" t="n"/>
      <c r="AC561" s="37" t="n"/>
      <c r="AD561" s="37" t="n"/>
      <c r="AE561" s="37" t="n"/>
      <c r="AF561" s="38" t="n"/>
      <c r="AG561" s="29" t="n">
        <v>626</v>
      </c>
      <c r="AH561" s="37" t="n"/>
      <c r="AI561" s="38" t="n"/>
    </row>
    <row r="562" ht="17.1" customHeight="1" s="36">
      <c r="O562" s="28" t="inlineStr">
        <is>
          <t>MESMEN3001</t>
        </is>
      </c>
      <c r="P562" s="37" t="n"/>
      <c r="Q562" s="38" t="n"/>
      <c r="R562" s="28" t="inlineStr">
        <is>
          <t>010</t>
        </is>
      </c>
      <c r="S562" s="37" t="n"/>
      <c r="T562" s="37" t="n"/>
      <c r="U562" s="37" t="n"/>
      <c r="V562" s="38" t="n"/>
      <c r="W562" s="28" t="inlineStr">
        <is>
          <t>61 ans 80 ans</t>
        </is>
      </c>
      <c r="X562" s="37" t="n"/>
      <c r="Y562" s="37" t="n"/>
      <c r="Z562" s="38" t="n"/>
      <c r="AA562" s="29" t="n">
        <v>91</v>
      </c>
      <c r="AB562" s="37" t="n"/>
      <c r="AC562" s="37" t="n"/>
      <c r="AD562" s="37" t="n"/>
      <c r="AE562" s="37" t="n"/>
      <c r="AF562" s="38" t="n"/>
      <c r="AG562" s="29" t="n">
        <v>91</v>
      </c>
      <c r="AH562" s="37" t="n"/>
      <c r="AI562" s="38" t="n"/>
    </row>
    <row r="563" ht="17.1" customHeight="1" s="36">
      <c r="O563" s="28" t="inlineStr">
        <is>
          <t>MESMNTSALA</t>
        </is>
      </c>
      <c r="P563" s="37" t="n"/>
      <c r="Q563" s="38" t="n"/>
      <c r="R563" s="28" t="inlineStr">
        <is>
          <t>052</t>
        </is>
      </c>
      <c r="S563" s="37" t="n"/>
      <c r="T563" s="37" t="n"/>
      <c r="U563" s="37" t="n"/>
      <c r="V563" s="38" t="n"/>
      <c r="W563" s="28" t="inlineStr">
        <is>
          <t>Moins de 20 ans</t>
        </is>
      </c>
      <c r="X563" s="37" t="n"/>
      <c r="Y563" s="37" t="n"/>
      <c r="Z563" s="38" t="n"/>
      <c r="AA563" s="29" t="n">
        <v>398</v>
      </c>
      <c r="AB563" s="37" t="n"/>
      <c r="AC563" s="37" t="n"/>
      <c r="AD563" s="37" t="n"/>
      <c r="AE563" s="37" t="n"/>
      <c r="AF563" s="38" t="n"/>
      <c r="AG563" s="29" t="n">
        <v>398</v>
      </c>
      <c r="AH563" s="37" t="n"/>
      <c r="AI563" s="38" t="n"/>
    </row>
    <row r="564" ht="17.1" customHeight="1" s="36">
      <c r="O564" s="28" t="inlineStr">
        <is>
          <t>MESMNTSALA</t>
        </is>
      </c>
      <c r="P564" s="37" t="n"/>
      <c r="Q564" s="38" t="n"/>
      <c r="R564" s="28" t="inlineStr">
        <is>
          <t>052</t>
        </is>
      </c>
      <c r="S564" s="37" t="n"/>
      <c r="T564" s="37" t="n"/>
      <c r="U564" s="37" t="n"/>
      <c r="V564" s="38" t="n"/>
      <c r="W564" s="28" t="inlineStr">
        <is>
          <t>21 ans 40 ans</t>
        </is>
      </c>
      <c r="X564" s="37" t="n"/>
      <c r="Y564" s="37" t="n"/>
      <c r="Z564" s="38" t="n"/>
      <c r="AA564" s="29" t="n">
        <v>414</v>
      </c>
      <c r="AB564" s="37" t="n"/>
      <c r="AC564" s="37" t="n"/>
      <c r="AD564" s="37" t="n"/>
      <c r="AE564" s="37" t="n"/>
      <c r="AF564" s="38" t="n"/>
      <c r="AG564" s="29" t="n">
        <v>415</v>
      </c>
      <c r="AH564" s="37" t="n"/>
      <c r="AI564" s="38" t="n"/>
    </row>
    <row r="565" ht="17.1" customHeight="1" s="36">
      <c r="O565" s="28" t="inlineStr">
        <is>
          <t>MESMNTSALA</t>
        </is>
      </c>
      <c r="P565" s="37" t="n"/>
      <c r="Q565" s="38" t="n"/>
      <c r="R565" s="28" t="inlineStr">
        <is>
          <t>052</t>
        </is>
      </c>
      <c r="S565" s="37" t="n"/>
      <c r="T565" s="37" t="n"/>
      <c r="U565" s="37" t="n"/>
      <c r="V565" s="38" t="n"/>
      <c r="W565" s="28" t="inlineStr">
        <is>
          <t>41 ans 60 ans</t>
        </is>
      </c>
      <c r="X565" s="37" t="n"/>
      <c r="Y565" s="37" t="n"/>
      <c r="Z565" s="38" t="n"/>
      <c r="AA565" s="29" t="n">
        <v>730</v>
      </c>
      <c r="AB565" s="37" t="n"/>
      <c r="AC565" s="37" t="n"/>
      <c r="AD565" s="37" t="n"/>
      <c r="AE565" s="37" t="n"/>
      <c r="AF565" s="38" t="n"/>
      <c r="AG565" s="29" t="n">
        <v>730</v>
      </c>
      <c r="AH565" s="37" t="n"/>
      <c r="AI565" s="38" t="n"/>
    </row>
    <row r="566" ht="17.1" customHeight="1" s="36">
      <c r="O566" s="28" t="inlineStr">
        <is>
          <t>MESMNTSALA</t>
        </is>
      </c>
      <c r="P566" s="37" t="n"/>
      <c r="Q566" s="38" t="n"/>
      <c r="R566" s="28" t="inlineStr">
        <is>
          <t>052</t>
        </is>
      </c>
      <c r="S566" s="37" t="n"/>
      <c r="T566" s="37" t="n"/>
      <c r="U566" s="37" t="n"/>
      <c r="V566" s="38" t="n"/>
      <c r="W566" s="28" t="inlineStr">
        <is>
          <t>61 ans 80 ans</t>
        </is>
      </c>
      <c r="X566" s="37" t="n"/>
      <c r="Y566" s="37" t="n"/>
      <c r="Z566" s="38" t="n"/>
      <c r="AA566" s="29" t="n">
        <v>167</v>
      </c>
      <c r="AB566" s="37" t="n"/>
      <c r="AC566" s="37" t="n"/>
      <c r="AD566" s="37" t="n"/>
      <c r="AE566" s="37" t="n"/>
      <c r="AF566" s="38" t="n"/>
      <c r="AG566" s="29" t="n">
        <v>167</v>
      </c>
      <c r="AH566" s="37" t="n"/>
      <c r="AI566" s="38" t="n"/>
    </row>
    <row r="567" ht="17.1" customHeight="1" s="36">
      <c r="O567" s="28" t="inlineStr">
        <is>
          <t>MESMUTFR31</t>
        </is>
      </c>
      <c r="P567" s="37" t="n"/>
      <c r="Q567" s="38" t="n"/>
      <c r="R567" s="28" t="inlineStr">
        <is>
          <t>052</t>
        </is>
      </c>
      <c r="S567" s="37" t="n"/>
      <c r="T567" s="37" t="n"/>
      <c r="U567" s="37" t="n"/>
      <c r="V567" s="38" t="n"/>
      <c r="W567" s="28" t="inlineStr">
        <is>
          <t>Moins de 20 ans</t>
        </is>
      </c>
      <c r="X567" s="37" t="n"/>
      <c r="Y567" s="37" t="n"/>
      <c r="Z567" s="38" t="n"/>
      <c r="AA567" s="29" t="n">
        <v>363</v>
      </c>
      <c r="AB567" s="37" t="n"/>
      <c r="AC567" s="37" t="n"/>
      <c r="AD567" s="37" t="n"/>
      <c r="AE567" s="37" t="n"/>
      <c r="AF567" s="38" t="n"/>
      <c r="AG567" s="29" t="n">
        <v>365</v>
      </c>
      <c r="AH567" s="37" t="n"/>
      <c r="AI567" s="38" t="n"/>
    </row>
    <row r="568" ht="17.1" customHeight="1" s="36">
      <c r="O568" s="28" t="inlineStr">
        <is>
          <t>MESMUTFR31</t>
        </is>
      </c>
      <c r="P568" s="37" t="n"/>
      <c r="Q568" s="38" t="n"/>
      <c r="R568" s="28" t="inlineStr">
        <is>
          <t>052</t>
        </is>
      </c>
      <c r="S568" s="37" t="n"/>
      <c r="T568" s="37" t="n"/>
      <c r="U568" s="37" t="n"/>
      <c r="V568" s="38" t="n"/>
      <c r="W568" s="28" t="inlineStr">
        <is>
          <t>21 ans 40 ans</t>
        </is>
      </c>
      <c r="X568" s="37" t="n"/>
      <c r="Y568" s="37" t="n"/>
      <c r="Z568" s="38" t="n"/>
      <c r="AA568" s="29" t="n">
        <v>407</v>
      </c>
      <c r="AB568" s="37" t="n"/>
      <c r="AC568" s="37" t="n"/>
      <c r="AD568" s="37" t="n"/>
      <c r="AE568" s="37" t="n"/>
      <c r="AF568" s="38" t="n"/>
      <c r="AG568" s="29" t="n">
        <v>409</v>
      </c>
      <c r="AH568" s="37" t="n"/>
      <c r="AI568" s="38" t="n"/>
    </row>
    <row r="569" ht="17.1" customHeight="1" s="36">
      <c r="O569" s="28" t="inlineStr">
        <is>
          <t>MESMUTFR31</t>
        </is>
      </c>
      <c r="P569" s="37" t="n"/>
      <c r="Q569" s="38" t="n"/>
      <c r="R569" s="28" t="inlineStr">
        <is>
          <t>052</t>
        </is>
      </c>
      <c r="S569" s="37" t="n"/>
      <c r="T569" s="37" t="n"/>
      <c r="U569" s="37" t="n"/>
      <c r="V569" s="38" t="n"/>
      <c r="W569" s="28" t="inlineStr">
        <is>
          <t>41 ans 60 ans</t>
        </is>
      </c>
      <c r="X569" s="37" t="n"/>
      <c r="Y569" s="37" t="n"/>
      <c r="Z569" s="38" t="n"/>
      <c r="AA569" s="29" t="n">
        <v>318</v>
      </c>
      <c r="AB569" s="37" t="n"/>
      <c r="AC569" s="37" t="n"/>
      <c r="AD569" s="37" t="n"/>
      <c r="AE569" s="37" t="n"/>
      <c r="AF569" s="38" t="n"/>
      <c r="AG569" s="29" t="n">
        <v>319</v>
      </c>
      <c r="AH569" s="37" t="n"/>
      <c r="AI569" s="38" t="n"/>
    </row>
    <row r="570" ht="17.1" customHeight="1" s="36">
      <c r="O570" s="28" t="inlineStr">
        <is>
          <t>MESMUTFR31</t>
        </is>
      </c>
      <c r="P570" s="37" t="n"/>
      <c r="Q570" s="38" t="n"/>
      <c r="R570" s="28" t="inlineStr">
        <is>
          <t>052</t>
        </is>
      </c>
      <c r="S570" s="37" t="n"/>
      <c r="T570" s="37" t="n"/>
      <c r="U570" s="37" t="n"/>
      <c r="V570" s="38" t="n"/>
      <c r="W570" s="28" t="inlineStr">
        <is>
          <t>61 ans 80 ans</t>
        </is>
      </c>
      <c r="X570" s="37" t="n"/>
      <c r="Y570" s="37" t="n"/>
      <c r="Z570" s="38" t="n"/>
      <c r="AA570" s="29" t="n">
        <v>91</v>
      </c>
      <c r="AB570" s="37" t="n"/>
      <c r="AC570" s="37" t="n"/>
      <c r="AD570" s="37" t="n"/>
      <c r="AE570" s="37" t="n"/>
      <c r="AF570" s="38" t="n"/>
      <c r="AG570" s="29" t="n">
        <v>91</v>
      </c>
      <c r="AH570" s="37" t="n"/>
      <c r="AI570" s="38" t="n"/>
    </row>
    <row r="571" ht="17.1" customHeight="1" s="36">
      <c r="O571" s="28" t="inlineStr">
        <is>
          <t>MESMUTFR31</t>
        </is>
      </c>
      <c r="P571" s="37" t="n"/>
      <c r="Q571" s="38" t="n"/>
      <c r="R571" s="28" t="inlineStr">
        <is>
          <t>052</t>
        </is>
      </c>
      <c r="S571" s="37" t="n"/>
      <c r="T571" s="37" t="n"/>
      <c r="U571" s="37" t="n"/>
      <c r="V571" s="38" t="n"/>
      <c r="W571" s="28" t="inlineStr">
        <is>
          <t>Plus de 80 ans</t>
        </is>
      </c>
      <c r="X571" s="37" t="n"/>
      <c r="Y571" s="37" t="n"/>
      <c r="Z571" s="38" t="n"/>
      <c r="AA571" s="29" t="n">
        <v>4</v>
      </c>
      <c r="AB571" s="37" t="n"/>
      <c r="AC571" s="37" t="n"/>
      <c r="AD571" s="37" t="n"/>
      <c r="AE571" s="37" t="n"/>
      <c r="AF571" s="38" t="n"/>
      <c r="AG571" s="29" t="n">
        <v>4</v>
      </c>
      <c r="AH571" s="37" t="n"/>
      <c r="AI571" s="38" t="n"/>
    </row>
    <row r="572" ht="17.1" customHeight="1" s="36">
      <c r="O572" s="28" t="inlineStr">
        <is>
          <t>OFFSUP</t>
        </is>
      </c>
      <c r="P572" s="37" t="n"/>
      <c r="Q572" s="38" t="n"/>
      <c r="R572" s="28" t="inlineStr">
        <is>
          <t>052</t>
        </is>
      </c>
      <c r="S572" s="37" t="n"/>
      <c r="T572" s="37" t="n"/>
      <c r="U572" s="37" t="n"/>
      <c r="V572" s="38" t="n"/>
      <c r="W572" s="28" t="inlineStr">
        <is>
          <t>41 ans 60 ans</t>
        </is>
      </c>
      <c r="X572" s="37" t="n"/>
      <c r="Y572" s="37" t="n"/>
      <c r="Z572" s="38" t="n"/>
      <c r="AA572" s="29" t="n">
        <v>2</v>
      </c>
      <c r="AB572" s="37" t="n"/>
      <c r="AC572" s="37" t="n"/>
      <c r="AD572" s="37" t="n"/>
      <c r="AE572" s="37" t="n"/>
      <c r="AF572" s="38" t="n"/>
      <c r="AG572" s="29" t="n">
        <v>2</v>
      </c>
      <c r="AH572" s="37" t="n"/>
      <c r="AI572" s="38" t="n"/>
    </row>
    <row r="573" ht="17.1" customHeight="1" s="36">
      <c r="O573" s="28" t="inlineStr">
        <is>
          <t>STSNUANCE</t>
        </is>
      </c>
      <c r="P573" s="37" t="n"/>
      <c r="Q573" s="38" t="n"/>
      <c r="R573" s="28" t="inlineStr">
        <is>
          <t>010</t>
        </is>
      </c>
      <c r="S573" s="37" t="n"/>
      <c r="T573" s="37" t="n"/>
      <c r="U573" s="37" t="n"/>
      <c r="V573" s="38" t="n"/>
      <c r="W573" s="28" t="inlineStr">
        <is>
          <t>Moins de 20 ans</t>
        </is>
      </c>
      <c r="X573" s="37" t="n"/>
      <c r="Y573" s="37" t="n"/>
      <c r="Z573" s="38" t="n"/>
      <c r="AA573" s="29" t="n">
        <v>87</v>
      </c>
      <c r="AB573" s="37" t="n"/>
      <c r="AC573" s="37" t="n"/>
      <c r="AD573" s="37" t="n"/>
      <c r="AE573" s="37" t="n"/>
      <c r="AF573" s="38" t="n"/>
      <c r="AG573" s="29" t="n">
        <v>87</v>
      </c>
      <c r="AH573" s="37" t="n"/>
      <c r="AI573" s="38" t="n"/>
    </row>
    <row r="574" ht="17.1" customHeight="1" s="36">
      <c r="O574" s="28" t="inlineStr">
        <is>
          <t>STSNUANCE</t>
        </is>
      </c>
      <c r="P574" s="37" t="n"/>
      <c r="Q574" s="38" t="n"/>
      <c r="R574" s="28" t="inlineStr">
        <is>
          <t>010</t>
        </is>
      </c>
      <c r="S574" s="37" t="n"/>
      <c r="T574" s="37" t="n"/>
      <c r="U574" s="37" t="n"/>
      <c r="V574" s="38" t="n"/>
      <c r="W574" s="28" t="inlineStr">
        <is>
          <t>21 ans 40 ans</t>
        </is>
      </c>
      <c r="X574" s="37" t="n"/>
      <c r="Y574" s="37" t="n"/>
      <c r="Z574" s="38" t="n"/>
      <c r="AA574" s="29" t="n">
        <v>92</v>
      </c>
      <c r="AB574" s="37" t="n"/>
      <c r="AC574" s="37" t="n"/>
      <c r="AD574" s="37" t="n"/>
      <c r="AE574" s="37" t="n"/>
      <c r="AF574" s="38" t="n"/>
      <c r="AG574" s="29" t="n">
        <v>92</v>
      </c>
      <c r="AH574" s="37" t="n"/>
      <c r="AI574" s="38" t="n"/>
    </row>
    <row r="575" ht="17.1" customHeight="1" s="36">
      <c r="O575" s="28" t="inlineStr">
        <is>
          <t>STSNUANCE</t>
        </is>
      </c>
      <c r="P575" s="37" t="n"/>
      <c r="Q575" s="38" t="n"/>
      <c r="R575" s="28" t="inlineStr">
        <is>
          <t>010</t>
        </is>
      </c>
      <c r="S575" s="37" t="n"/>
      <c r="T575" s="37" t="n"/>
      <c r="U575" s="37" t="n"/>
      <c r="V575" s="38" t="n"/>
      <c r="W575" s="28" t="inlineStr">
        <is>
          <t>41 ans 60 ans</t>
        </is>
      </c>
      <c r="X575" s="37" t="n"/>
      <c r="Y575" s="37" t="n"/>
      <c r="Z575" s="38" t="n"/>
      <c r="AA575" s="29" t="n">
        <v>73</v>
      </c>
      <c r="AB575" s="37" t="n"/>
      <c r="AC575" s="37" t="n"/>
      <c r="AD575" s="37" t="n"/>
      <c r="AE575" s="37" t="n"/>
      <c r="AF575" s="38" t="n"/>
      <c r="AG575" s="29" t="n">
        <v>74</v>
      </c>
      <c r="AH575" s="37" t="n"/>
      <c r="AI575" s="38" t="n"/>
    </row>
    <row r="576" ht="17.1" customHeight="1" s="36">
      <c r="O576" s="28" t="inlineStr">
        <is>
          <t>STSNUANCE</t>
        </is>
      </c>
      <c r="P576" s="37" t="n"/>
      <c r="Q576" s="38" t="n"/>
      <c r="R576" s="28" t="inlineStr">
        <is>
          <t>010</t>
        </is>
      </c>
      <c r="S576" s="37" t="n"/>
      <c r="T576" s="37" t="n"/>
      <c r="U576" s="37" t="n"/>
      <c r="V576" s="38" t="n"/>
      <c r="W576" s="28" t="inlineStr">
        <is>
          <t>61 ans 80 ans</t>
        </is>
      </c>
      <c r="X576" s="37" t="n"/>
      <c r="Y576" s="37" t="n"/>
      <c r="Z576" s="38" t="n"/>
      <c r="AA576" s="29" t="n">
        <v>11</v>
      </c>
      <c r="AB576" s="37" t="n"/>
      <c r="AC576" s="37" t="n"/>
      <c r="AD576" s="37" t="n"/>
      <c r="AE576" s="37" t="n"/>
      <c r="AF576" s="38" t="n"/>
      <c r="AG576" s="29" t="n">
        <v>11</v>
      </c>
      <c r="AH576" s="37" t="n"/>
      <c r="AI576" s="38" t="n"/>
    </row>
    <row r="577" ht="17.1" customHeight="1" s="36">
      <c r="O577" s="28" t="inlineStr">
        <is>
          <t>STSNUANCE</t>
        </is>
      </c>
      <c r="P577" s="37" t="n"/>
      <c r="Q577" s="38" t="n"/>
      <c r="R577" s="28" t="inlineStr">
        <is>
          <t>010</t>
        </is>
      </c>
      <c r="S577" s="37" t="n"/>
      <c r="T577" s="37" t="n"/>
      <c r="U577" s="37" t="n"/>
      <c r="V577" s="38" t="n"/>
      <c r="W577" s="28" t="inlineStr">
        <is>
          <t>Plus de 80 ans</t>
        </is>
      </c>
      <c r="X577" s="37" t="n"/>
      <c r="Y577" s="37" t="n"/>
      <c r="Z577" s="38" t="n"/>
      <c r="AA577" s="29" t="n">
        <v>1</v>
      </c>
      <c r="AB577" s="37" t="n"/>
      <c r="AC577" s="37" t="n"/>
      <c r="AD577" s="37" t="n"/>
      <c r="AE577" s="37" t="n"/>
      <c r="AF577" s="38" t="n"/>
      <c r="AG577" s="29" t="n">
        <v>1</v>
      </c>
      <c r="AH577" s="37" t="n"/>
      <c r="AI577" s="38" t="n"/>
    </row>
    <row r="578" hidden="1" customHeight="1" s="36"/>
    <row r="579" ht="15.2" customHeight="1" s="36"/>
    <row r="580" ht="21" customHeight="1" s="36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  <c r="BO580" s="1" t="n"/>
      <c r="BP580" s="1" t="n"/>
      <c r="BQ580" s="1" t="n"/>
      <c r="BR580" s="1" t="n"/>
      <c r="BS580" s="1" t="n"/>
      <c r="BT580" s="1" t="n"/>
      <c r="BU580" s="1" t="n"/>
      <c r="BV580" s="1" t="n"/>
      <c r="BW580" s="1" t="n"/>
      <c r="BX580" s="1" t="n"/>
    </row>
    <row r="581" ht="8.25" customHeight="1" s="36"/>
    <row r="582" ht="17.1" customHeight="1" s="36">
      <c r="C582" s="32" t="inlineStr">
        <is>
          <t>Nombre de parcours avenant fermés par jour (limiter à 30 derniers jours)</t>
        </is>
      </c>
    </row>
    <row r="583" ht="7.35" customHeight="1" s="36"/>
    <row r="584" ht="3" customHeight="1" s="36"/>
    <row r="585" ht="17.1" customHeight="1" s="36">
      <c r="B585" s="35" t="inlineStr">
        <is>
          <t>datopb</t>
        </is>
      </c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8" t="n"/>
      <c r="P585" s="35" t="inlineStr">
        <is>
          <t>nb parcours</t>
        </is>
      </c>
      <c r="Q585" s="37" t="n"/>
      <c r="R585" s="37" t="n"/>
      <c r="S585" s="38" t="n"/>
    </row>
    <row r="586" ht="17.1" customHeight="1" s="36">
      <c r="B586" s="31" t="n">
        <v>46220</v>
      </c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8" t="n"/>
      <c r="P586" s="28" t="n">
        <v>602</v>
      </c>
      <c r="Q586" s="37" t="n"/>
      <c r="R586" s="37" t="n"/>
      <c r="S586" s="38" t="n"/>
    </row>
    <row r="587" ht="17.1" customHeight="1" s="36">
      <c r="B587" s="31" t="n">
        <v>46219</v>
      </c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8" t="n"/>
      <c r="P587" s="28" t="n">
        <v>615</v>
      </c>
      <c r="Q587" s="37" t="n"/>
      <c r="R587" s="37" t="n"/>
      <c r="S587" s="38" t="n"/>
    </row>
    <row r="588" ht="17.1" customHeight="1" s="36">
      <c r="B588" s="31" t="n">
        <v>46218</v>
      </c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8" t="n"/>
      <c r="P588" s="28" t="n">
        <v>617</v>
      </c>
      <c r="Q588" s="37" t="n"/>
      <c r="R588" s="37" t="n"/>
      <c r="S588" s="38" t="n"/>
    </row>
    <row r="589" ht="17.1" customHeight="1" s="36">
      <c r="B589" s="31" t="n">
        <v>46217</v>
      </c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8" t="n"/>
      <c r="P589" s="28" t="n">
        <v>65</v>
      </c>
      <c r="Q589" s="37" t="n"/>
      <c r="R589" s="37" t="n"/>
      <c r="S589" s="38" t="n"/>
    </row>
    <row r="590" ht="17.1" customHeight="1" s="36">
      <c r="B590" s="31" t="n">
        <v>46216</v>
      </c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8" t="n"/>
      <c r="P590" s="28" t="n">
        <v>387</v>
      </c>
      <c r="Q590" s="37" t="n"/>
      <c r="R590" s="37" t="n"/>
      <c r="S590" s="38" t="n"/>
    </row>
    <row r="591" ht="17.1" customHeight="1" s="36">
      <c r="B591" s="31" t="n">
        <v>46215</v>
      </c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8" t="n"/>
      <c r="P591" s="28" t="n">
        <v>66</v>
      </c>
      <c r="Q591" s="37" t="n"/>
      <c r="R591" s="37" t="n"/>
      <c r="S591" s="38" t="n"/>
    </row>
    <row r="592" ht="17.1" customHeight="1" s="36">
      <c r="B592" s="31" t="n">
        <v>46214</v>
      </c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8" t="n"/>
      <c r="P592" s="28" t="n">
        <v>77</v>
      </c>
      <c r="Q592" s="37" t="n"/>
      <c r="R592" s="37" t="n"/>
      <c r="S592" s="38" t="n"/>
    </row>
    <row r="593" ht="17.1" customHeight="1" s="36">
      <c r="B593" s="31" t="n">
        <v>46213</v>
      </c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8" t="n"/>
      <c r="P593" s="28" t="n">
        <v>494</v>
      </c>
      <c r="Q593" s="37" t="n"/>
      <c r="R593" s="37" t="n"/>
      <c r="S593" s="38" t="n"/>
    </row>
    <row r="594" ht="17.1" customHeight="1" s="36">
      <c r="B594" s="31" t="n">
        <v>46212</v>
      </c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8" t="n"/>
      <c r="P594" s="28" t="n">
        <v>433</v>
      </c>
      <c r="Q594" s="37" t="n"/>
      <c r="R594" s="37" t="n"/>
      <c r="S594" s="38" t="n"/>
    </row>
    <row r="595" ht="17.1" customHeight="1" s="36">
      <c r="B595" s="31" t="n">
        <v>46211</v>
      </c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8" t="n"/>
      <c r="P595" s="28" t="n">
        <v>543</v>
      </c>
      <c r="Q595" s="37" t="n"/>
      <c r="R595" s="37" t="n"/>
      <c r="S595" s="38" t="n"/>
    </row>
    <row r="596" ht="17.1" customHeight="1" s="36">
      <c r="B596" s="31" t="n">
        <v>46210</v>
      </c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8" t="n"/>
      <c r="P596" s="28" t="n">
        <v>475</v>
      </c>
      <c r="Q596" s="37" t="n"/>
      <c r="R596" s="37" t="n"/>
      <c r="S596" s="38" t="n"/>
    </row>
    <row r="597" ht="17.1" customHeight="1" s="36">
      <c r="B597" s="31" t="n">
        <v>46209</v>
      </c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8" t="n"/>
      <c r="P597" s="28" t="n">
        <v>487</v>
      </c>
      <c r="Q597" s="37" t="n"/>
      <c r="R597" s="37" t="n"/>
      <c r="S597" s="38" t="n"/>
    </row>
    <row r="598" ht="17.1" customHeight="1" s="36">
      <c r="B598" s="31" t="n">
        <v>46208</v>
      </c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8" t="n"/>
      <c r="P598" s="28" t="n">
        <v>82</v>
      </c>
      <c r="Q598" s="37" t="n"/>
      <c r="R598" s="37" t="n"/>
      <c r="S598" s="38" t="n"/>
    </row>
    <row r="599" ht="17.1" customHeight="1" s="36">
      <c r="B599" s="31" t="n">
        <v>46207</v>
      </c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8" t="n"/>
      <c r="P599" s="28" t="n">
        <v>32</v>
      </c>
      <c r="Q599" s="37" t="n"/>
      <c r="R599" s="37" t="n"/>
      <c r="S599" s="38" t="n"/>
    </row>
    <row r="600" ht="17.1" customHeight="1" s="36">
      <c r="B600" s="31" t="n">
        <v>46206</v>
      </c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8" t="n"/>
      <c r="P600" s="28" t="n">
        <v>616</v>
      </c>
      <c r="Q600" s="37" t="n"/>
      <c r="R600" s="37" t="n"/>
      <c r="S600" s="38" t="n"/>
    </row>
    <row r="601" ht="17.1" customHeight="1" s="36">
      <c r="B601" s="31" t="n">
        <v>46205</v>
      </c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8" t="n"/>
      <c r="P601" s="28" t="n">
        <v>615</v>
      </c>
      <c r="Q601" s="37" t="n"/>
      <c r="R601" s="37" t="n"/>
      <c r="S601" s="38" t="n"/>
    </row>
    <row r="602" ht="17.1" customHeight="1" s="36">
      <c r="B602" s="31" t="n">
        <v>46204</v>
      </c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8" t="n"/>
      <c r="P602" s="28" t="n">
        <v>802</v>
      </c>
      <c r="Q602" s="37" t="n"/>
      <c r="R602" s="37" t="n"/>
      <c r="S602" s="38" t="n"/>
    </row>
    <row r="603" ht="17.1" customHeight="1" s="36">
      <c r="B603" s="31" t="n">
        <v>46203</v>
      </c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8" t="n"/>
      <c r="P603" s="28" t="n">
        <v>641</v>
      </c>
      <c r="Q603" s="37" t="n"/>
      <c r="R603" s="37" t="n"/>
      <c r="S603" s="38" t="n"/>
    </row>
    <row r="604" ht="17.1" customHeight="1" s="36">
      <c r="B604" s="31" t="n">
        <v>46202</v>
      </c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8" t="n"/>
      <c r="P604" s="28" t="n">
        <v>741</v>
      </c>
      <c r="Q604" s="37" t="n"/>
      <c r="R604" s="37" t="n"/>
      <c r="S604" s="38" t="n"/>
    </row>
    <row r="605" ht="17.1" customHeight="1" s="36">
      <c r="B605" s="31" t="n">
        <v>46201</v>
      </c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8" t="n"/>
      <c r="P605" s="28" t="n">
        <v>55</v>
      </c>
      <c r="Q605" s="37" t="n"/>
      <c r="R605" s="37" t="n"/>
      <c r="S605" s="38" t="n"/>
    </row>
    <row r="606" ht="17.1" customHeight="1" s="36">
      <c r="B606" s="31" t="n">
        <v>46200</v>
      </c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8" t="n"/>
      <c r="P606" s="28" t="n">
        <v>70</v>
      </c>
      <c r="Q606" s="37" t="n"/>
      <c r="R606" s="37" t="n"/>
      <c r="S606" s="38" t="n"/>
    </row>
    <row r="607" ht="17.1" customHeight="1" s="36">
      <c r="B607" s="31" t="n">
        <v>46199</v>
      </c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8" t="n"/>
      <c r="P607" s="28" t="n">
        <v>462</v>
      </c>
      <c r="Q607" s="37" t="n"/>
      <c r="R607" s="37" t="n"/>
      <c r="S607" s="38" t="n"/>
    </row>
    <row r="608" ht="17.1" customHeight="1" s="36">
      <c r="B608" s="31" t="n">
        <v>46198</v>
      </c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8" t="n"/>
      <c r="P608" s="28" t="n">
        <v>557</v>
      </c>
      <c r="Q608" s="37" t="n"/>
      <c r="R608" s="37" t="n"/>
      <c r="S608" s="38" t="n"/>
    </row>
    <row r="609" ht="17.1" customHeight="1" s="36">
      <c r="B609" s="31" t="n">
        <v>46197</v>
      </c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8" t="n"/>
      <c r="P609" s="28" t="n">
        <v>544</v>
      </c>
      <c r="Q609" s="37" t="n"/>
      <c r="R609" s="37" t="n"/>
      <c r="S609" s="38" t="n"/>
    </row>
    <row r="610" ht="17.1" customHeight="1" s="36">
      <c r="B610" s="31" t="n">
        <v>46196</v>
      </c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8" t="n"/>
      <c r="P610" s="28" t="n">
        <v>563</v>
      </c>
      <c r="Q610" s="37" t="n"/>
      <c r="R610" s="37" t="n"/>
      <c r="S610" s="38" t="n"/>
    </row>
    <row r="611" ht="17.1" customHeight="1" s="36">
      <c r="B611" s="31" t="n">
        <v>46195</v>
      </c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8" t="n"/>
      <c r="P611" s="28" t="n">
        <v>486</v>
      </c>
      <c r="Q611" s="37" t="n"/>
      <c r="R611" s="37" t="n"/>
      <c r="S611" s="38" t="n"/>
    </row>
    <row r="612" ht="17.1" customHeight="1" s="36">
      <c r="B612" s="31" t="n">
        <v>46194</v>
      </c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8" t="n"/>
      <c r="P612" s="28" t="n">
        <v>93</v>
      </c>
      <c r="Q612" s="37" t="n"/>
      <c r="R612" s="37" t="n"/>
      <c r="S612" s="38" t="n"/>
    </row>
    <row r="613" ht="17.1" customHeight="1" s="36">
      <c r="B613" s="31" t="n">
        <v>46193</v>
      </c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8" t="n"/>
      <c r="P613" s="28" t="n">
        <v>1</v>
      </c>
      <c r="Q613" s="37" t="n"/>
      <c r="R613" s="37" t="n"/>
      <c r="S613" s="38" t="n"/>
    </row>
    <row r="614" ht="17.1" customHeight="1" s="36">
      <c r="B614" s="31" t="n">
        <v>46192</v>
      </c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8" t="n"/>
      <c r="P614" s="28" t="n">
        <v>453</v>
      </c>
      <c r="Q614" s="37" t="n"/>
      <c r="R614" s="37" t="n"/>
      <c r="S614" s="38" t="n"/>
    </row>
    <row r="615" ht="16.9" customHeight="1" s="36">
      <c r="B615" s="31" t="n">
        <v>46191</v>
      </c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8" t="n"/>
      <c r="P615" s="28" t="n">
        <v>488</v>
      </c>
      <c r="Q615" s="37" t="n"/>
      <c r="R615" s="37" t="n"/>
      <c r="S615" s="38" t="n"/>
    </row>
    <row r="616" hidden="1" customHeight="1" s="36"/>
    <row r="617" ht="217.5" customHeight="1" s="36"/>
  </sheetData>
  <mergeCells count="2255">
    <mergeCell ref="W524:Z524"/>
    <mergeCell ref="O554:Q554"/>
    <mergeCell ref="G65:P65"/>
    <mergeCell ref="AA464:AF464"/>
    <mergeCell ref="R266:V266"/>
    <mergeCell ref="AG331:AI331"/>
    <mergeCell ref="R564:V564"/>
    <mergeCell ref="AB284:AF284"/>
    <mergeCell ref="AA377:AF377"/>
    <mergeCell ref="W359:AA359"/>
    <mergeCell ref="W490:Z490"/>
    <mergeCell ref="L275:Q275"/>
    <mergeCell ref="AA466:AF466"/>
    <mergeCell ref="G50:P50"/>
    <mergeCell ref="R566:V566"/>
    <mergeCell ref="AB286:AF286"/>
    <mergeCell ref="W519:Z519"/>
    <mergeCell ref="AA522:AF522"/>
    <mergeCell ref="G52:P52"/>
    <mergeCell ref="AG556:AI556"/>
    <mergeCell ref="L276:Q276"/>
    <mergeCell ref="L270:Q270"/>
    <mergeCell ref="AG260:AI260"/>
    <mergeCell ref="AA524:AF524"/>
    <mergeCell ref="AG564:AI564"/>
    <mergeCell ref="AG558:AI558"/>
    <mergeCell ref="AG259:AI259"/>
    <mergeCell ref="AA395:AF395"/>
    <mergeCell ref="AA517:AF517"/>
    <mergeCell ref="O425:Q425"/>
    <mergeCell ref="R313:V313"/>
    <mergeCell ref="AG261:AI261"/>
    <mergeCell ref="AA519:AF519"/>
    <mergeCell ref="AG559:AI559"/>
    <mergeCell ref="G78:P78"/>
    <mergeCell ref="R279:V279"/>
    <mergeCell ref="AB339:AF339"/>
    <mergeCell ref="W293:AA293"/>
    <mergeCell ref="R490:V490"/>
    <mergeCell ref="G80:P80"/>
    <mergeCell ref="I167:R167"/>
    <mergeCell ref="L288:Q288"/>
    <mergeCell ref="R281:V281"/>
    <mergeCell ref="V19:AD19"/>
    <mergeCell ref="Q124:U124"/>
    <mergeCell ref="I169:R169"/>
    <mergeCell ref="AA535:AF535"/>
    <mergeCell ref="AG402:AI402"/>
    <mergeCell ref="Q126:U126"/>
    <mergeCell ref="S182:W182"/>
    <mergeCell ref="AA423:AF423"/>
    <mergeCell ref="AG401:AI401"/>
    <mergeCell ref="AA537:AF537"/>
    <mergeCell ref="R366:V366"/>
    <mergeCell ref="P600:S600"/>
    <mergeCell ref="S190:W190"/>
    <mergeCell ref="I164:R164"/>
    <mergeCell ref="AG272:AI272"/>
    <mergeCell ref="AG403:AI403"/>
    <mergeCell ref="AB350:AF350"/>
    <mergeCell ref="V37:AD37"/>
    <mergeCell ref="AG274:AI274"/>
    <mergeCell ref="I195:R195"/>
    <mergeCell ref="AB358:AF358"/>
    <mergeCell ref="Q108:U108"/>
    <mergeCell ref="AB351:AF351"/>
    <mergeCell ref="AA563:AF563"/>
    <mergeCell ref="V38:AD38"/>
    <mergeCell ref="O471:Q471"/>
    <mergeCell ref="AB264:AF264"/>
    <mergeCell ref="L342:Q342"/>
    <mergeCell ref="I190:R190"/>
    <mergeCell ref="AA565:AF565"/>
    <mergeCell ref="V63:AD63"/>
    <mergeCell ref="L344:Q344"/>
    <mergeCell ref="AX11:BC11"/>
    <mergeCell ref="AG325:AI325"/>
    <mergeCell ref="AG300:AI300"/>
    <mergeCell ref="R229:V229"/>
    <mergeCell ref="W484:Z484"/>
    <mergeCell ref="AG327:AI327"/>
    <mergeCell ref="AB280:AF280"/>
    <mergeCell ref="W486:Z486"/>
    <mergeCell ref="AA462:AF462"/>
    <mergeCell ref="G21:P21"/>
    <mergeCell ref="AB282:AF282"/>
    <mergeCell ref="I208:R208"/>
    <mergeCell ref="W515:Z515"/>
    <mergeCell ref="AG472:AI472"/>
    <mergeCell ref="G23:P23"/>
    <mergeCell ref="O395:Q395"/>
    <mergeCell ref="L241:Q241"/>
    <mergeCell ref="AG501:AI501"/>
    <mergeCell ref="R405:V405"/>
    <mergeCell ref="O367:Q367"/>
    <mergeCell ref="L355:Q355"/>
    <mergeCell ref="AG345:AI345"/>
    <mergeCell ref="AG467:AI467"/>
    <mergeCell ref="V122:AD122"/>
    <mergeCell ref="L243:Q243"/>
    <mergeCell ref="AA488:AF488"/>
    <mergeCell ref="O396:Q396"/>
    <mergeCell ref="O390:Q390"/>
    <mergeCell ref="AB308:AF308"/>
    <mergeCell ref="AA490:AF490"/>
    <mergeCell ref="O398:Q398"/>
    <mergeCell ref="R275:V275"/>
    <mergeCell ref="AG340:AI340"/>
    <mergeCell ref="AB310:AF310"/>
    <mergeCell ref="W499:Z499"/>
    <mergeCell ref="AB309:AF309"/>
    <mergeCell ref="B612:O612"/>
    <mergeCell ref="G76:P76"/>
    <mergeCell ref="R304:V304"/>
    <mergeCell ref="R575:V575"/>
    <mergeCell ref="AG371:AI371"/>
    <mergeCell ref="O537:Q537"/>
    <mergeCell ref="O414:Q414"/>
    <mergeCell ref="G77:P77"/>
    <mergeCell ref="W559:Z559"/>
    <mergeCell ref="AG372:AI372"/>
    <mergeCell ref="R301:V301"/>
    <mergeCell ref="L287:Q287"/>
    <mergeCell ref="L281:Q281"/>
    <mergeCell ref="W561:Z561"/>
    <mergeCell ref="AG399:AI399"/>
    <mergeCell ref="R330:V330"/>
    <mergeCell ref="O409:Q409"/>
    <mergeCell ref="W554:Z554"/>
    <mergeCell ref="AA534:AF534"/>
    <mergeCell ref="L312:Q312"/>
    <mergeCell ref="G87:P87"/>
    <mergeCell ref="R332:V332"/>
    <mergeCell ref="N224:AR224"/>
    <mergeCell ref="AG513:AI513"/>
    <mergeCell ref="G95:P95"/>
    <mergeCell ref="AA559:AF559"/>
    <mergeCell ref="G89:P89"/>
    <mergeCell ref="Q53:U53"/>
    <mergeCell ref="V72:AD72"/>
    <mergeCell ref="V34:AD34"/>
    <mergeCell ref="O467:Q467"/>
    <mergeCell ref="L313:Q313"/>
    <mergeCell ref="L307:Q307"/>
    <mergeCell ref="G88:P88"/>
    <mergeCell ref="AG425:AI425"/>
    <mergeCell ref="AB349:AF349"/>
    <mergeCell ref="AA561:AF561"/>
    <mergeCell ref="O460:Q460"/>
    <mergeCell ref="I217:AB217"/>
    <mergeCell ref="V30:AD30"/>
    <mergeCell ref="W246:AA246"/>
    <mergeCell ref="L315:Q315"/>
    <mergeCell ref="AX7:BC7"/>
    <mergeCell ref="AG296:AI296"/>
    <mergeCell ref="G90:P90"/>
    <mergeCell ref="AA560:AF560"/>
    <mergeCell ref="AG427:AI427"/>
    <mergeCell ref="O462:Q462"/>
    <mergeCell ref="R350:V350"/>
    <mergeCell ref="AG298:AI298"/>
    <mergeCell ref="AA562:AF562"/>
    <mergeCell ref="AG456:AI456"/>
    <mergeCell ref="G115:P115"/>
    <mergeCell ref="R343:V343"/>
    <mergeCell ref="V90:AD90"/>
    <mergeCell ref="AB253:AF253"/>
    <mergeCell ref="V62:AD62"/>
    <mergeCell ref="I179:R179"/>
    <mergeCell ref="V56:AD56"/>
    <mergeCell ref="R345:V345"/>
    <mergeCell ref="I206:R206"/>
    <mergeCell ref="V91:AD91"/>
    <mergeCell ref="W414:Z414"/>
    <mergeCell ref="V85:AD85"/>
    <mergeCell ref="AA432:AF432"/>
    <mergeCell ref="O480:Q480"/>
    <mergeCell ref="AB248:AF248"/>
    <mergeCell ref="L326:Q326"/>
    <mergeCell ref="AG438:AI438"/>
    <mergeCell ref="L239:Q239"/>
    <mergeCell ref="W416:Z416"/>
    <mergeCell ref="AA484:AF484"/>
    <mergeCell ref="R403:V403"/>
    <mergeCell ref="O392:Q392"/>
    <mergeCell ref="AG440:AI440"/>
    <mergeCell ref="AA486:AF486"/>
    <mergeCell ref="O394:Q394"/>
    <mergeCell ref="R246:V246"/>
    <mergeCell ref="AG469:AI469"/>
    <mergeCell ref="R398:V398"/>
    <mergeCell ref="V75:AD75"/>
    <mergeCell ref="W469:Z469"/>
    <mergeCell ref="L250:Q250"/>
    <mergeCell ref="AG368:AI368"/>
    <mergeCell ref="R414:V414"/>
    <mergeCell ref="O376:Q376"/>
    <mergeCell ref="O534:Q534"/>
    <mergeCell ref="W498:Z498"/>
    <mergeCell ref="R416:V416"/>
    <mergeCell ref="O378:Q378"/>
    <mergeCell ref="O405:Q405"/>
    <mergeCell ref="AB317:AF317"/>
    <mergeCell ref="O536:Q536"/>
    <mergeCell ref="AA499:AF499"/>
    <mergeCell ref="R328:V328"/>
    <mergeCell ref="O407:Q407"/>
    <mergeCell ref="AB319:AF319"/>
    <mergeCell ref="W245:AA245"/>
    <mergeCell ref="W552:Z552"/>
    <mergeCell ref="R417:V417"/>
    <mergeCell ref="AW15:BB15"/>
    <mergeCell ref="AB318:AF318"/>
    <mergeCell ref="B596:O596"/>
    <mergeCell ref="Q24:U24"/>
    <mergeCell ref="O560:Q560"/>
    <mergeCell ref="AG538:AI538"/>
    <mergeCell ref="R442:V442"/>
    <mergeCell ref="W242:AA242"/>
    <mergeCell ref="AA375:AF375"/>
    <mergeCell ref="G86:P86"/>
    <mergeCell ref="W392:Z392"/>
    <mergeCell ref="AG540:AI540"/>
    <mergeCell ref="O433:Q433"/>
    <mergeCell ref="W271:AA271"/>
    <mergeCell ref="AG235:AI235"/>
    <mergeCell ref="AG533:AI533"/>
    <mergeCell ref="W394:Z394"/>
    <mergeCell ref="W570:Z570"/>
    <mergeCell ref="O435:Q435"/>
    <mergeCell ref="W273:AA273"/>
    <mergeCell ref="AG541:AI541"/>
    <mergeCell ref="R470:V470"/>
    <mergeCell ref="R341:V341"/>
    <mergeCell ref="AA401:AF401"/>
    <mergeCell ref="AG566:AI566"/>
    <mergeCell ref="I177:R177"/>
    <mergeCell ref="V81:AD81"/>
    <mergeCell ref="G114:P114"/>
    <mergeCell ref="L322:Q322"/>
    <mergeCell ref="I170:R170"/>
    <mergeCell ref="AG434:AI434"/>
    <mergeCell ref="O486:Q486"/>
    <mergeCell ref="G133:AN133"/>
    <mergeCell ref="W412:Z412"/>
    <mergeCell ref="S164:W164"/>
    <mergeCell ref="R496:V496"/>
    <mergeCell ref="W255:AA255"/>
    <mergeCell ref="L324:Q324"/>
    <mergeCell ref="I172:R172"/>
    <mergeCell ref="G99:P99"/>
    <mergeCell ref="R488:V488"/>
    <mergeCell ref="W405:Z405"/>
    <mergeCell ref="AG436:AI436"/>
    <mergeCell ref="AG463:AI463"/>
    <mergeCell ref="R367:V367"/>
    <mergeCell ref="R498:V498"/>
    <mergeCell ref="AA571:AF571"/>
    <mergeCell ref="W407:Z407"/>
    <mergeCell ref="AG465:AI465"/>
    <mergeCell ref="R369:V369"/>
    <mergeCell ref="Q88:U88"/>
    <mergeCell ref="W286:AA286"/>
    <mergeCell ref="AB359:AF359"/>
    <mergeCell ref="W438:Z438"/>
    <mergeCell ref="Q90:U90"/>
    <mergeCell ref="O504:Q504"/>
    <mergeCell ref="AA414:AF414"/>
    <mergeCell ref="G125:P125"/>
    <mergeCell ref="V73:AD73"/>
    <mergeCell ref="O497:Q497"/>
    <mergeCell ref="V100:AD100"/>
    <mergeCell ref="Q119:U119"/>
    <mergeCell ref="AA416:AF416"/>
    <mergeCell ref="G127:P127"/>
    <mergeCell ref="AG491:AI491"/>
    <mergeCell ref="O505:Q505"/>
    <mergeCell ref="AG447:AI447"/>
    <mergeCell ref="O499:Q499"/>
    <mergeCell ref="V102:AD102"/>
    <mergeCell ref="S183:W183"/>
    <mergeCell ref="R509:V509"/>
    <mergeCell ref="Q116:U116"/>
    <mergeCell ref="AG449:AI449"/>
    <mergeCell ref="V127:AD127"/>
    <mergeCell ref="R293:V293"/>
    <mergeCell ref="R413:V413"/>
    <mergeCell ref="Q20:U20"/>
    <mergeCell ref="R415:V415"/>
    <mergeCell ref="AG509:AI509"/>
    <mergeCell ref="B594:O594"/>
    <mergeCell ref="AG475:AI475"/>
    <mergeCell ref="R440:V440"/>
    <mergeCell ref="O429:Q429"/>
    <mergeCell ref="R439:V439"/>
    <mergeCell ref="AG504:AI504"/>
    <mergeCell ref="O518:Q518"/>
    <mergeCell ref="W365:Z365"/>
    <mergeCell ref="O431:Q431"/>
    <mergeCell ref="AA366:AF366"/>
    <mergeCell ref="W479:Z479"/>
    <mergeCell ref="R441:V441"/>
    <mergeCell ref="AG506:AI506"/>
    <mergeCell ref="R435:V435"/>
    <mergeCell ref="W358:AA358"/>
    <mergeCell ref="R312:V312"/>
    <mergeCell ref="Q25:U25"/>
    <mergeCell ref="Q77:U77"/>
    <mergeCell ref="Q33:U33"/>
    <mergeCell ref="G51:P51"/>
    <mergeCell ref="B615:O615"/>
    <mergeCell ref="W505:Z505"/>
    <mergeCell ref="O571:Q571"/>
    <mergeCell ref="W376:Z376"/>
    <mergeCell ref="AA394:AF394"/>
    <mergeCell ref="O442:Q442"/>
    <mergeCell ref="O573:Q573"/>
    <mergeCell ref="I197:R197"/>
    <mergeCell ref="W403:Z403"/>
    <mergeCell ref="W378:Z378"/>
    <mergeCell ref="R365:V365"/>
    <mergeCell ref="Q59:U59"/>
    <mergeCell ref="W282:AA282"/>
    <mergeCell ref="R454:V454"/>
    <mergeCell ref="AB355:AF355"/>
    <mergeCell ref="W434:Z434"/>
    <mergeCell ref="Q61:U61"/>
    <mergeCell ref="AG575:AI575"/>
    <mergeCell ref="W283:AA283"/>
    <mergeCell ref="AA376:AF376"/>
    <mergeCell ref="L289:Q289"/>
    <mergeCell ref="AG276:AI276"/>
    <mergeCell ref="AA412:AF412"/>
    <mergeCell ref="W429:Z429"/>
    <mergeCell ref="AG577:AI577"/>
    <mergeCell ref="Q56:U56"/>
    <mergeCell ref="AA405:AF405"/>
    <mergeCell ref="AG278:AI278"/>
    <mergeCell ref="S173:W173"/>
    <mergeCell ref="W308:AA308"/>
    <mergeCell ref="R505:V505"/>
    <mergeCell ref="AA536:AF536"/>
    <mergeCell ref="AG570:AI570"/>
    <mergeCell ref="W437:Z437"/>
    <mergeCell ref="AG576:AI576"/>
    <mergeCell ref="W431:Z431"/>
    <mergeCell ref="R541:V541"/>
    <mergeCell ref="AB356:AF356"/>
    <mergeCell ref="O503:Q503"/>
    <mergeCell ref="AA413:AF413"/>
    <mergeCell ref="W316:AA316"/>
    <mergeCell ref="R376:V376"/>
    <mergeCell ref="AA407:AF407"/>
    <mergeCell ref="W310:AA310"/>
    <mergeCell ref="R507:V507"/>
    <mergeCell ref="AU129:AZ129"/>
    <mergeCell ref="AB227:AF227"/>
    <mergeCell ref="V36:AD36"/>
    <mergeCell ref="W422:Z422"/>
    <mergeCell ref="W309:AA309"/>
    <mergeCell ref="R378:V378"/>
    <mergeCell ref="W432:Z432"/>
    <mergeCell ref="AA438:AF438"/>
    <mergeCell ref="R536:V536"/>
    <mergeCell ref="W311:AA311"/>
    <mergeCell ref="R508:V508"/>
    <mergeCell ref="V124:AD124"/>
    <mergeCell ref="W267:AA267"/>
    <mergeCell ref="W447:Z447"/>
    <mergeCell ref="AB228:AF228"/>
    <mergeCell ref="S171:W171"/>
    <mergeCell ref="V126:AD126"/>
    <mergeCell ref="S207:W207"/>
    <mergeCell ref="W449:Z449"/>
    <mergeCell ref="R525:V525"/>
    <mergeCell ref="W442:Z442"/>
    <mergeCell ref="AG500:AI500"/>
    <mergeCell ref="O514:Q514"/>
    <mergeCell ref="AG291:AI291"/>
    <mergeCell ref="R518:V518"/>
    <mergeCell ref="W450:Z450"/>
    <mergeCell ref="S202:W202"/>
    <mergeCell ref="AG502:AI502"/>
    <mergeCell ref="Q125:U125"/>
    <mergeCell ref="R520:V520"/>
    <mergeCell ref="G20:P20"/>
    <mergeCell ref="Q127:U127"/>
    <mergeCell ref="L230:Q230"/>
    <mergeCell ref="W324:AA324"/>
    <mergeCell ref="S191:W191"/>
    <mergeCell ref="B611:O611"/>
    <mergeCell ref="AG342:AI342"/>
    <mergeCell ref="W501:Z501"/>
    <mergeCell ref="L232:Q232"/>
    <mergeCell ref="AG344:AI344"/>
    <mergeCell ref="R248:V248"/>
    <mergeCell ref="W372:Z372"/>
    <mergeCell ref="AB297:AF297"/>
    <mergeCell ref="AA365:AF365"/>
    <mergeCell ref="AA479:AF479"/>
    <mergeCell ref="G38:P38"/>
    <mergeCell ref="W374:Z374"/>
    <mergeCell ref="AB299:AF299"/>
    <mergeCell ref="AB292:AF292"/>
    <mergeCell ref="L258:Q258"/>
    <mergeCell ref="R452:V452"/>
    <mergeCell ref="AB294:AF294"/>
    <mergeCell ref="L285:Q285"/>
    <mergeCell ref="AG241:AI241"/>
    <mergeCell ref="AA505:AF505"/>
    <mergeCell ref="AG539:AI539"/>
    <mergeCell ref="Q52:U52"/>
    <mergeCell ref="AB325:AF325"/>
    <mergeCell ref="W514:Z514"/>
    <mergeCell ref="AG572:AI572"/>
    <mergeCell ref="AG243:AI243"/>
    <mergeCell ref="W550:Z550"/>
    <mergeCell ref="AA378:AF378"/>
    <mergeCell ref="W516:Z516"/>
    <mergeCell ref="AG574:AI574"/>
    <mergeCell ref="R478:V478"/>
    <mergeCell ref="W545:Z545"/>
    <mergeCell ref="G122:P122"/>
    <mergeCell ref="Q70:U70"/>
    <mergeCell ref="O397:Q397"/>
    <mergeCell ref="W542:Z542"/>
    <mergeCell ref="L304:Q304"/>
    <mergeCell ref="R347:V347"/>
    <mergeCell ref="AA437:AF437"/>
    <mergeCell ref="W237:AA237"/>
    <mergeCell ref="AB338:AF338"/>
    <mergeCell ref="AA431:AF431"/>
    <mergeCell ref="AG287:AI287"/>
    <mergeCell ref="AB340:AF340"/>
    <mergeCell ref="AA422:AF422"/>
    <mergeCell ref="W325:AA325"/>
    <mergeCell ref="AG289:AI289"/>
    <mergeCell ref="AG411:AI411"/>
    <mergeCell ref="AB242:AF242"/>
    <mergeCell ref="G106:P106"/>
    <mergeCell ref="AB252:AF252"/>
    <mergeCell ref="P608:S608"/>
    <mergeCell ref="L330:Q330"/>
    <mergeCell ref="G105:P105"/>
    <mergeCell ref="AA447:AF447"/>
    <mergeCell ref="AB244:AF244"/>
    <mergeCell ref="V53:AD53"/>
    <mergeCell ref="W320:AA320"/>
    <mergeCell ref="L332:Q332"/>
    <mergeCell ref="AG313:AI313"/>
    <mergeCell ref="G107:P107"/>
    <mergeCell ref="AB237:AF237"/>
    <mergeCell ref="AA449:AF449"/>
    <mergeCell ref="V46:AD46"/>
    <mergeCell ref="I163:R163"/>
    <mergeCell ref="O479:Q479"/>
    <mergeCell ref="AA442:AF442"/>
    <mergeCell ref="AG315:AI315"/>
    <mergeCell ref="R244:V244"/>
    <mergeCell ref="AA573:AF573"/>
    <mergeCell ref="R542:V542"/>
    <mergeCell ref="O481:Q481"/>
    <mergeCell ref="AA450:AF450"/>
    <mergeCell ref="G34:P34"/>
    <mergeCell ref="AB234:AF234"/>
    <mergeCell ref="R550:V550"/>
    <mergeCell ref="R273:V273"/>
    <mergeCell ref="R544:V544"/>
    <mergeCell ref="V79:AD79"/>
    <mergeCell ref="W503:Z503"/>
    <mergeCell ref="W459:Z459"/>
    <mergeCell ref="R245:V245"/>
    <mergeCell ref="AG310:AI310"/>
    <mergeCell ref="AB236:AF236"/>
    <mergeCell ref="AB263:AF263"/>
    <mergeCell ref="W338:AA338"/>
    <mergeCell ref="R573:V573"/>
    <mergeCell ref="L254:Q254"/>
    <mergeCell ref="G29:P29"/>
    <mergeCell ref="R545:V545"/>
    <mergeCell ref="AB290:AF290"/>
    <mergeCell ref="AB265:AF265"/>
    <mergeCell ref="L343:Q343"/>
    <mergeCell ref="AG455:AI455"/>
    <mergeCell ref="L256:Q256"/>
    <mergeCell ref="AA501:AF501"/>
    <mergeCell ref="G31:P31"/>
    <mergeCell ref="L345:Q345"/>
    <mergeCell ref="AG326:AI326"/>
    <mergeCell ref="AG457:AI457"/>
    <mergeCell ref="W485:Z485"/>
    <mergeCell ref="AG239:AI239"/>
    <mergeCell ref="AA503:AF503"/>
    <mergeCell ref="AG537:AI537"/>
    <mergeCell ref="O551:Q551"/>
    <mergeCell ref="O411:Q411"/>
    <mergeCell ref="R263:V263"/>
    <mergeCell ref="AA374:AF374"/>
    <mergeCell ref="W487:Z487"/>
    <mergeCell ref="Q22:U22"/>
    <mergeCell ref="R292:V292"/>
    <mergeCell ref="AG240:AI240"/>
    <mergeCell ref="W541:Z541"/>
    <mergeCell ref="V92:AD92"/>
    <mergeCell ref="G57:P57"/>
    <mergeCell ref="AG354:AI354"/>
    <mergeCell ref="O406:Q406"/>
    <mergeCell ref="R258:V258"/>
    <mergeCell ref="G49:P49"/>
    <mergeCell ref="AT145:AY145"/>
    <mergeCell ref="V94:AD94"/>
    <mergeCell ref="L267:Q267"/>
    <mergeCell ref="W572:Z572"/>
    <mergeCell ref="R260:V260"/>
    <mergeCell ref="O393:Q393"/>
    <mergeCell ref="O423:Q423"/>
    <mergeCell ref="L269:Q269"/>
    <mergeCell ref="AG250:AI250"/>
    <mergeCell ref="R289:V289"/>
    <mergeCell ref="AG387:AI387"/>
    <mergeCell ref="AA514:AF514"/>
    <mergeCell ref="AG381:AI381"/>
    <mergeCell ref="O422:Q422"/>
    <mergeCell ref="W233:AA233"/>
    <mergeCell ref="AB334:AF334"/>
    <mergeCell ref="O553:Q553"/>
    <mergeCell ref="W567:Z567"/>
    <mergeCell ref="AG258:AI258"/>
    <mergeCell ref="AG380:AI380"/>
    <mergeCell ref="AA516:AF516"/>
    <mergeCell ref="G75:P75"/>
    <mergeCell ref="O424:Q424"/>
    <mergeCell ref="AB336:AF336"/>
    <mergeCell ref="W569:Z569"/>
    <mergeCell ref="AG382:AI382"/>
    <mergeCell ref="B613:O613"/>
    <mergeCell ref="AB329:AF329"/>
    <mergeCell ref="Q35:U35"/>
    <mergeCell ref="AG397:AI397"/>
    <mergeCell ref="L295:Q295"/>
    <mergeCell ref="W556:Z556"/>
    <mergeCell ref="G70:P70"/>
    <mergeCell ref="AB337:AF337"/>
    <mergeCell ref="AB331:AF331"/>
    <mergeCell ref="L328:Q328"/>
    <mergeCell ref="Q123:U123"/>
    <mergeCell ref="G103:P103"/>
    <mergeCell ref="AA542:AF542"/>
    <mergeCell ref="I159:R159"/>
    <mergeCell ref="L321:Q321"/>
    <mergeCell ref="AG311:AI311"/>
    <mergeCell ref="W551:Z551"/>
    <mergeCell ref="W411:Z411"/>
    <mergeCell ref="AA544:AF544"/>
    <mergeCell ref="I161:R161"/>
    <mergeCell ref="R373:V373"/>
    <mergeCell ref="O477:Q477"/>
    <mergeCell ref="AG400:AI400"/>
    <mergeCell ref="L323:Q323"/>
    <mergeCell ref="W290:AA290"/>
    <mergeCell ref="V44:AD44"/>
    <mergeCell ref="R358:V358"/>
    <mergeCell ref="AA448:AF448"/>
    <mergeCell ref="AB259:AF259"/>
    <mergeCell ref="AG395:AI395"/>
    <mergeCell ref="O493:Q493"/>
    <mergeCell ref="AB261:AF261"/>
    <mergeCell ref="I187:R187"/>
    <mergeCell ref="AG451:AI451"/>
    <mergeCell ref="S181:W181"/>
    <mergeCell ref="L341:Q341"/>
    <mergeCell ref="I189:R189"/>
    <mergeCell ref="AG322:AI322"/>
    <mergeCell ref="O374:Q374"/>
    <mergeCell ref="R384:V384"/>
    <mergeCell ref="W274:AA274"/>
    <mergeCell ref="W301:AA301"/>
    <mergeCell ref="O382:Q382"/>
    <mergeCell ref="AG324:AI324"/>
    <mergeCell ref="AG482:AI482"/>
    <mergeCell ref="O496:Q496"/>
    <mergeCell ref="R386:V386"/>
    <mergeCell ref="Q105:U105"/>
    <mergeCell ref="I210:AP210"/>
    <mergeCell ref="L336:Q336"/>
    <mergeCell ref="O375:Q375"/>
    <mergeCell ref="W303:AA303"/>
    <mergeCell ref="AA459:AF459"/>
    <mergeCell ref="V88:AD88"/>
    <mergeCell ref="Q107:U107"/>
    <mergeCell ref="I205:R205"/>
    <mergeCell ref="O377:Q377"/>
    <mergeCell ref="R254:V254"/>
    <mergeCell ref="R290:V290"/>
    <mergeCell ref="G55:P55"/>
    <mergeCell ref="V117:AD117"/>
    <mergeCell ref="B591:O591"/>
    <mergeCell ref="R256:V256"/>
    <mergeCell ref="W357:AA357"/>
    <mergeCell ref="AB274:AF274"/>
    <mergeCell ref="V83:AD83"/>
    <mergeCell ref="O522:Q522"/>
    <mergeCell ref="AG464:AI464"/>
    <mergeCell ref="O516:Q516"/>
    <mergeCell ref="V119:AD119"/>
    <mergeCell ref="R285:V285"/>
    <mergeCell ref="AA485:AF485"/>
    <mergeCell ref="AG352:AI352"/>
    <mergeCell ref="O524:Q524"/>
    <mergeCell ref="AG466:AI466"/>
    <mergeCell ref="R397:V397"/>
    <mergeCell ref="AA487:AF487"/>
    <mergeCell ref="G71:P71"/>
    <mergeCell ref="R316:V316"/>
    <mergeCell ref="L266:Q266"/>
    <mergeCell ref="B609:O609"/>
    <mergeCell ref="AB300:AF300"/>
    <mergeCell ref="G66:P66"/>
    <mergeCell ref="R311:V311"/>
    <mergeCell ref="B602:O602"/>
    <mergeCell ref="AB327:AF327"/>
    <mergeCell ref="R303:V303"/>
    <mergeCell ref="AG492:AI492"/>
    <mergeCell ref="G74:P74"/>
    <mergeCell ref="W380:Z380"/>
    <mergeCell ref="G68:P68"/>
    <mergeCell ref="Q32:U32"/>
    <mergeCell ref="B604:O604"/>
    <mergeCell ref="O446:Q446"/>
    <mergeCell ref="O535:Q535"/>
    <mergeCell ref="W382:Z382"/>
    <mergeCell ref="AA540:AF540"/>
    <mergeCell ref="O448:Q448"/>
    <mergeCell ref="R300:V300"/>
    <mergeCell ref="R458:V458"/>
    <mergeCell ref="R329:V329"/>
    <mergeCell ref="R295:V295"/>
    <mergeCell ref="AA556:AF556"/>
    <mergeCell ref="R331:V331"/>
    <mergeCell ref="Q50:U50"/>
    <mergeCell ref="I183:R183"/>
    <mergeCell ref="AB346:AF346"/>
    <mergeCell ref="I185:R185"/>
    <mergeCell ref="AA551:AF551"/>
    <mergeCell ref="AG424:AI424"/>
    <mergeCell ref="AA411:AF411"/>
    <mergeCell ref="O459:Q459"/>
    <mergeCell ref="L305:Q305"/>
    <mergeCell ref="AG295:AI295"/>
    <mergeCell ref="AG417:AI417"/>
    <mergeCell ref="W420:Z420"/>
    <mergeCell ref="AG453:AI453"/>
    <mergeCell ref="R382:V382"/>
    <mergeCell ref="AG409:AI409"/>
    <mergeCell ref="O461:Q461"/>
    <mergeCell ref="I186:R186"/>
    <mergeCell ref="W299:AA299"/>
    <mergeCell ref="R471:V471"/>
    <mergeCell ref="AG419:AI419"/>
    <mergeCell ref="V59:AD59"/>
    <mergeCell ref="O373:Q373"/>
    <mergeCell ref="R473:V473"/>
    <mergeCell ref="G113:P113"/>
    <mergeCell ref="I213:Y213"/>
    <mergeCell ref="I196:R196"/>
    <mergeCell ref="V54:AD54"/>
    <mergeCell ref="W302:AA302"/>
    <mergeCell ref="O487:Q487"/>
    <mergeCell ref="L358:Q358"/>
    <mergeCell ref="I204:R204"/>
    <mergeCell ref="O389:Q389"/>
    <mergeCell ref="W448:Z448"/>
    <mergeCell ref="I198:R198"/>
    <mergeCell ref="R393:V393"/>
    <mergeCell ref="W327:AA327"/>
    <mergeCell ref="R524:V524"/>
    <mergeCell ref="O391:Q391"/>
    <mergeCell ref="R401:V401"/>
    <mergeCell ref="R395:V395"/>
    <mergeCell ref="R553:V553"/>
    <mergeCell ref="AB296:AF296"/>
    <mergeCell ref="O515:Q515"/>
    <mergeCell ref="W284:AA284"/>
    <mergeCell ref="R519:V519"/>
    <mergeCell ref="AB298:AF298"/>
    <mergeCell ref="R396:V396"/>
    <mergeCell ref="AG488:AI488"/>
    <mergeCell ref="AG517:AI517"/>
    <mergeCell ref="O531:Q531"/>
    <mergeCell ref="R421:V421"/>
    <mergeCell ref="O525:Q525"/>
    <mergeCell ref="R535:V535"/>
    <mergeCell ref="W467:Z467"/>
    <mergeCell ref="W461:Z461"/>
    <mergeCell ref="AG519:AI519"/>
    <mergeCell ref="O533:Q533"/>
    <mergeCell ref="R423:V423"/>
    <mergeCell ref="R543:V543"/>
    <mergeCell ref="W340:AA340"/>
    <mergeCell ref="R456:V456"/>
    <mergeCell ref="W373:Z373"/>
    <mergeCell ref="W549:Z549"/>
    <mergeCell ref="V125:AD125"/>
    <mergeCell ref="W252:AA252"/>
    <mergeCell ref="O528:Q528"/>
    <mergeCell ref="L247:Q247"/>
    <mergeCell ref="AG535:AI535"/>
    <mergeCell ref="AA380:AF380"/>
    <mergeCell ref="O559:Q559"/>
    <mergeCell ref="W389:Z389"/>
    <mergeCell ref="Q41:U41"/>
    <mergeCell ref="AA382:AF382"/>
    <mergeCell ref="O430:Q430"/>
    <mergeCell ref="AG238:AI238"/>
    <mergeCell ref="W241:AA241"/>
    <mergeCell ref="O561:Q561"/>
    <mergeCell ref="AG232:AI232"/>
    <mergeCell ref="AG530:AI530"/>
    <mergeCell ref="W391:Z391"/>
    <mergeCell ref="Q43:U43"/>
    <mergeCell ref="W234:AA234"/>
    <mergeCell ref="L303:Q303"/>
    <mergeCell ref="W270:AA270"/>
    <mergeCell ref="R467:V467"/>
    <mergeCell ref="AG532:AI532"/>
    <mergeCell ref="AG415:AI415"/>
    <mergeCell ref="AG233:AI233"/>
    <mergeCell ref="W236:AA236"/>
    <mergeCell ref="R469:V469"/>
    <mergeCell ref="Q67:U67"/>
    <mergeCell ref="Q103:U103"/>
    <mergeCell ref="W265:AA265"/>
    <mergeCell ref="R340:V340"/>
    <mergeCell ref="V50:AD50"/>
    <mergeCell ref="Q69:U69"/>
    <mergeCell ref="AA393:AF393"/>
    <mergeCell ref="W531:Z531"/>
    <mergeCell ref="R493:V493"/>
    <mergeCell ref="Q98:U98"/>
    <mergeCell ref="W533:Z533"/>
    <mergeCell ref="W560:Z560"/>
    <mergeCell ref="R495:V495"/>
    <mergeCell ref="S162:W162"/>
    <mergeCell ref="W404:Z404"/>
    <mergeCell ref="Q87:U87"/>
    <mergeCell ref="S187:W187"/>
    <mergeCell ref="J11:AQ11"/>
    <mergeCell ref="R392:V392"/>
    <mergeCell ref="S189:W189"/>
    <mergeCell ref="P599:S599"/>
    <mergeCell ref="W430:Z430"/>
    <mergeCell ref="Q82:U82"/>
    <mergeCell ref="Q118:U118"/>
    <mergeCell ref="AG304:AI304"/>
    <mergeCell ref="W463:Z463"/>
    <mergeCell ref="W457:Z457"/>
    <mergeCell ref="AG490:AI490"/>
    <mergeCell ref="P594:S594"/>
    <mergeCell ref="Q113:U113"/>
    <mergeCell ref="R235:V235"/>
    <mergeCell ref="W336:AA336"/>
    <mergeCell ref="R533:V533"/>
    <mergeCell ref="W465:Z465"/>
    <mergeCell ref="W458:Z458"/>
    <mergeCell ref="W337:AA337"/>
    <mergeCell ref="R534:V534"/>
    <mergeCell ref="AG330:AI330"/>
    <mergeCell ref="L245:Q245"/>
    <mergeCell ref="W339:AA339"/>
    <mergeCell ref="K220:AC220"/>
    <mergeCell ref="W491:Z491"/>
    <mergeCell ref="O557:Q557"/>
    <mergeCell ref="AA467:AF467"/>
    <mergeCell ref="AA461:AF461"/>
    <mergeCell ref="R430:V430"/>
    <mergeCell ref="AB251:AF251"/>
    <mergeCell ref="R561:V561"/>
    <mergeCell ref="AV149:BA149"/>
    <mergeCell ref="O550:Q550"/>
    <mergeCell ref="W476:Z476"/>
    <mergeCell ref="AA469:AF469"/>
    <mergeCell ref="R438:V438"/>
    <mergeCell ref="R560:V560"/>
    <mergeCell ref="W355:AA355"/>
    <mergeCell ref="O552:Q552"/>
    <mergeCell ref="L271:Q271"/>
    <mergeCell ref="W478:Z478"/>
    <mergeCell ref="B610:O610"/>
    <mergeCell ref="AG231:AI231"/>
    <mergeCell ref="W261:AA261"/>
    <mergeCell ref="AG529:AI529"/>
    <mergeCell ref="R433:V433"/>
    <mergeCell ref="G48:P48"/>
    <mergeCell ref="W350:AA350"/>
    <mergeCell ref="AG343:AI343"/>
    <mergeCell ref="AA389:AF389"/>
    <mergeCell ref="AG256:AI256"/>
    <mergeCell ref="AG554:AI554"/>
    <mergeCell ref="O568:Q568"/>
    <mergeCell ref="L268:Q268"/>
    <mergeCell ref="AA391:AF391"/>
    <mergeCell ref="W504:Z504"/>
    <mergeCell ref="AG562:AI562"/>
    <mergeCell ref="R491:V491"/>
    <mergeCell ref="AG247:AI247"/>
    <mergeCell ref="O570:Q570"/>
    <mergeCell ref="AA480:AF480"/>
    <mergeCell ref="V20:AD20"/>
    <mergeCell ref="R309:V309"/>
    <mergeCell ref="AG257:AI257"/>
    <mergeCell ref="AA515:AF515"/>
    <mergeCell ref="W506:Z506"/>
    <mergeCell ref="AG555:AI555"/>
    <mergeCell ref="AB335:AF335"/>
    <mergeCell ref="AA392:AF392"/>
    <mergeCell ref="AG557:AI557"/>
    <mergeCell ref="R486:V486"/>
    <mergeCell ref="O565:Q565"/>
    <mergeCell ref="L284:Q284"/>
    <mergeCell ref="W401:Z401"/>
    <mergeCell ref="V51:AD51"/>
    <mergeCell ref="S185:W185"/>
    <mergeCell ref="P595:S595"/>
    <mergeCell ref="L286:Q286"/>
    <mergeCell ref="AA531:AF531"/>
    <mergeCell ref="AG398:AI398"/>
    <mergeCell ref="Q122:U122"/>
    <mergeCell ref="W426:Z426"/>
    <mergeCell ref="O439:Q439"/>
    <mergeCell ref="Q78:U78"/>
    <mergeCell ref="AG275:AI275"/>
    <mergeCell ref="W305:AA305"/>
    <mergeCell ref="AG269:AI269"/>
    <mergeCell ref="AA533:AF533"/>
    <mergeCell ref="W428:Z428"/>
    <mergeCell ref="Q80:U80"/>
    <mergeCell ref="P590:S590"/>
    <mergeCell ref="AA404:AF404"/>
    <mergeCell ref="W307:AA307"/>
    <mergeCell ref="R504:V504"/>
    <mergeCell ref="P598:S598"/>
    <mergeCell ref="V33:AD33"/>
    <mergeCell ref="AG270:AI270"/>
    <mergeCell ref="R506:V506"/>
    <mergeCell ref="AB354:AF354"/>
    <mergeCell ref="AB348:AF348"/>
    <mergeCell ref="V35:AD35"/>
    <mergeCell ref="Q104:U104"/>
    <mergeCell ref="V28:AD28"/>
    <mergeCell ref="Q106:U106"/>
    <mergeCell ref="W335:AA335"/>
    <mergeCell ref="AG328:AI328"/>
    <mergeCell ref="AA430:AF430"/>
    <mergeCell ref="W568:Z568"/>
    <mergeCell ref="S198:W198"/>
    <mergeCell ref="P614:S614"/>
    <mergeCell ref="S170:W170"/>
    <mergeCell ref="AG321:AI321"/>
    <mergeCell ref="AA463:AF463"/>
    <mergeCell ref="O365:Q365"/>
    <mergeCell ref="AG288:AI288"/>
    <mergeCell ref="V118:AD118"/>
    <mergeCell ref="S199:W199"/>
    <mergeCell ref="AG323:AI323"/>
    <mergeCell ref="R227:V227"/>
    <mergeCell ref="AA465:AF465"/>
    <mergeCell ref="AG499:AI499"/>
    <mergeCell ref="P609:S609"/>
    <mergeCell ref="AB276:AF276"/>
    <mergeCell ref="W482:Z482"/>
    <mergeCell ref="D153:AK153"/>
    <mergeCell ref="AA458:AF458"/>
    <mergeCell ref="O366:Q366"/>
    <mergeCell ref="AB278:AF278"/>
    <mergeCell ref="AY3:BD3"/>
    <mergeCell ref="R429:V429"/>
    <mergeCell ref="G19:P19"/>
    <mergeCell ref="W346:AA346"/>
    <mergeCell ref="B608:O608"/>
    <mergeCell ref="R431:V431"/>
    <mergeCell ref="L229:Q229"/>
    <mergeCell ref="L351:Q351"/>
    <mergeCell ref="W348:AA348"/>
    <mergeCell ref="AG341:AI341"/>
    <mergeCell ref="L264:Q264"/>
    <mergeCell ref="W500:Z500"/>
    <mergeCell ref="L353:Q353"/>
    <mergeCell ref="AA476:AF476"/>
    <mergeCell ref="R576:V576"/>
    <mergeCell ref="W502:Z502"/>
    <mergeCell ref="W529:Z529"/>
    <mergeCell ref="R271:V271"/>
    <mergeCell ref="AG336:AI336"/>
    <mergeCell ref="AB306:AF306"/>
    <mergeCell ref="AA478:AF478"/>
    <mergeCell ref="W495:Z495"/>
    <mergeCell ref="AG553:AI553"/>
    <mergeCell ref="G72:P72"/>
    <mergeCell ref="L255:Q255"/>
    <mergeCell ref="R571:V571"/>
    <mergeCell ref="AG367:AI367"/>
    <mergeCell ref="AB291:AF291"/>
    <mergeCell ref="L282:Q282"/>
    <mergeCell ref="R302:V302"/>
    <mergeCell ref="AG369:AI369"/>
    <mergeCell ref="Q49:U49"/>
    <mergeCell ref="O404:Q404"/>
    <mergeCell ref="AA529:AF529"/>
    <mergeCell ref="AA504:AF504"/>
    <mergeCell ref="O437:Q437"/>
    <mergeCell ref="L283:Q283"/>
    <mergeCell ref="L277:Q277"/>
    <mergeCell ref="W557:Z557"/>
    <mergeCell ref="W513:Z513"/>
    <mergeCell ref="AA506:AF506"/>
    <mergeCell ref="R291:V291"/>
    <mergeCell ref="V29:AD29"/>
    <mergeCell ref="AG266:AI266"/>
    <mergeCell ref="W425:Z425"/>
    <mergeCell ref="R284:V284"/>
    <mergeCell ref="V31:AD31"/>
    <mergeCell ref="AG268:AI268"/>
    <mergeCell ref="W298:AA298"/>
    <mergeCell ref="L310:Q310"/>
    <mergeCell ref="G91:P91"/>
    <mergeCell ref="W544:Z544"/>
    <mergeCell ref="G85:P85"/>
    <mergeCell ref="O463:Q463"/>
    <mergeCell ref="V60:AD60"/>
    <mergeCell ref="C582:AJ582"/>
    <mergeCell ref="G84:P84"/>
    <mergeCell ref="AA426:AF426"/>
    <mergeCell ref="W539:Z539"/>
    <mergeCell ref="L301:Q301"/>
    <mergeCell ref="AG293:AI293"/>
    <mergeCell ref="AA557:AF557"/>
    <mergeCell ref="V32:AD32"/>
    <mergeCell ref="Q51:U51"/>
    <mergeCell ref="V26:AD26"/>
    <mergeCell ref="AG413:AI413"/>
    <mergeCell ref="L311:Q311"/>
    <mergeCell ref="AA428:AF428"/>
    <mergeCell ref="O458:Q458"/>
    <mergeCell ref="I215:AB215"/>
    <mergeCell ref="V57:AD57"/>
    <mergeCell ref="E129:AL129"/>
    <mergeCell ref="R346:V346"/>
    <mergeCell ref="S195:W195"/>
    <mergeCell ref="L296:Q296"/>
    <mergeCell ref="AA552:AF552"/>
    <mergeCell ref="AG286:AI286"/>
    <mergeCell ref="AG408:AI408"/>
    <mergeCell ref="R557:V557"/>
    <mergeCell ref="AA429:AF429"/>
    <mergeCell ref="V86:AD86"/>
    <mergeCell ref="V42:AD42"/>
    <mergeCell ref="R252:V252"/>
    <mergeCell ref="AG279:AI279"/>
    <mergeCell ref="AB249:AF249"/>
    <mergeCell ref="V58:AD58"/>
    <mergeCell ref="AB243:AF243"/>
    <mergeCell ref="AG410:AI410"/>
    <mergeCell ref="V52:AD52"/>
    <mergeCell ref="W317:AA317"/>
    <mergeCell ref="AG281:AI281"/>
    <mergeCell ref="G104:P104"/>
    <mergeCell ref="AA568:AF568"/>
    <mergeCell ref="O476:Q476"/>
    <mergeCell ref="L347:Q347"/>
    <mergeCell ref="AG312:AI312"/>
    <mergeCell ref="R241:V241"/>
    <mergeCell ref="AA576:AF576"/>
    <mergeCell ref="AA570:AF570"/>
    <mergeCell ref="R539:V539"/>
    <mergeCell ref="R399:V399"/>
    <mergeCell ref="O478:Q478"/>
    <mergeCell ref="L349:Q349"/>
    <mergeCell ref="AG305:AI305"/>
    <mergeCell ref="R243:V243"/>
    <mergeCell ref="V70:AD70"/>
    <mergeCell ref="R359:V359"/>
    <mergeCell ref="R242:V242"/>
    <mergeCell ref="S208:W208"/>
    <mergeCell ref="AG307:AI307"/>
    <mergeCell ref="R236:V236"/>
    <mergeCell ref="AG332:AI332"/>
    <mergeCell ref="R394:V394"/>
    <mergeCell ref="L251:Q251"/>
    <mergeCell ref="AB262:AF262"/>
    <mergeCell ref="V71:AD71"/>
    <mergeCell ref="L253:Q253"/>
    <mergeCell ref="V101:AD101"/>
    <mergeCell ref="G28:P28"/>
    <mergeCell ref="AG365:AI365"/>
    <mergeCell ref="L246:Q246"/>
    <mergeCell ref="O372:Q372"/>
    <mergeCell ref="G30:P30"/>
    <mergeCell ref="AA500:AF500"/>
    <mergeCell ref="O408:Q408"/>
    <mergeCell ref="O402:Q402"/>
    <mergeCell ref="L248:Q248"/>
    <mergeCell ref="R412:V412"/>
    <mergeCell ref="AG366:AI366"/>
    <mergeCell ref="AA502:AF502"/>
    <mergeCell ref="O401:Q401"/>
    <mergeCell ref="AB313:AF313"/>
    <mergeCell ref="AA495:AF495"/>
    <mergeCell ref="G54:P54"/>
    <mergeCell ref="AG351:AI351"/>
    <mergeCell ref="AB321:AF321"/>
    <mergeCell ref="O403:Q403"/>
    <mergeCell ref="R255:V255"/>
    <mergeCell ref="AB315:AF315"/>
    <mergeCell ref="W548:Z548"/>
    <mergeCell ref="R407:V407"/>
    <mergeCell ref="G81:P81"/>
    <mergeCell ref="B592:O592"/>
    <mergeCell ref="G56:P56"/>
    <mergeCell ref="AG376:AI376"/>
    <mergeCell ref="AB316:AF316"/>
    <mergeCell ref="AG378:AI378"/>
    <mergeCell ref="AG536:AI536"/>
    <mergeCell ref="W537:Z537"/>
    <mergeCell ref="W564:Z564"/>
    <mergeCell ref="AA513:AF513"/>
    <mergeCell ref="AA373:AF373"/>
    <mergeCell ref="R342:V342"/>
    <mergeCell ref="O421:Q421"/>
    <mergeCell ref="O543:Q543"/>
    <mergeCell ref="W566:Z566"/>
    <mergeCell ref="O456:Q456"/>
    <mergeCell ref="AG379:AI379"/>
    <mergeCell ref="R344:V344"/>
    <mergeCell ref="AB326:AF326"/>
    <mergeCell ref="W532:Z532"/>
    <mergeCell ref="R337:V337"/>
    <mergeCell ref="AG518:AI518"/>
    <mergeCell ref="L319:Q319"/>
    <mergeCell ref="G100:P100"/>
    <mergeCell ref="R339:V339"/>
    <mergeCell ref="G94:P94"/>
    <mergeCell ref="O472:Q472"/>
    <mergeCell ref="O447:Q447"/>
    <mergeCell ref="L318:Q318"/>
    <mergeCell ref="AG547:AI547"/>
    <mergeCell ref="AA572:AF572"/>
    <mergeCell ref="G102:P102"/>
    <mergeCell ref="I202:R202"/>
    <mergeCell ref="W408:Z408"/>
    <mergeCell ref="AA566:AF566"/>
    <mergeCell ref="I158:R158"/>
    <mergeCell ref="O474:Q474"/>
    <mergeCell ref="W251:AA251"/>
    <mergeCell ref="R326:V326"/>
    <mergeCell ref="L320:Q320"/>
    <mergeCell ref="AG301:AI301"/>
    <mergeCell ref="R484:V484"/>
    <mergeCell ref="BX137:BY137"/>
    <mergeCell ref="L314:Q314"/>
    <mergeCell ref="I168:R168"/>
    <mergeCell ref="AG432:AI432"/>
    <mergeCell ref="I160:R160"/>
    <mergeCell ref="W259:AA259"/>
    <mergeCell ref="W253:AA253"/>
    <mergeCell ref="W280:AA280"/>
    <mergeCell ref="R355:V355"/>
    <mergeCell ref="AG303:AI303"/>
    <mergeCell ref="G97:P97"/>
    <mergeCell ref="AA567:AF567"/>
    <mergeCell ref="Q84:U84"/>
    <mergeCell ref="O469:Q469"/>
    <mergeCell ref="V68:AD68"/>
    <mergeCell ref="R357:V357"/>
    <mergeCell ref="R479:V479"/>
    <mergeCell ref="AA569:AF569"/>
    <mergeCell ref="AB258:AF258"/>
    <mergeCell ref="Q86:U86"/>
    <mergeCell ref="I184:R184"/>
    <mergeCell ref="V67:AD67"/>
    <mergeCell ref="O500:Q500"/>
    <mergeCell ref="V97:AD97"/>
    <mergeCell ref="S178:W178"/>
    <mergeCell ref="G121:P121"/>
    <mergeCell ref="R510:V510"/>
    <mergeCell ref="R567:V567"/>
    <mergeCell ref="AB260:AF260"/>
    <mergeCell ref="L338:Q338"/>
    <mergeCell ref="V69:AD69"/>
    <mergeCell ref="V96:AD96"/>
    <mergeCell ref="AG450:AI450"/>
    <mergeCell ref="O485:Q485"/>
    <mergeCell ref="G123:P123"/>
    <mergeCell ref="O501:Q501"/>
    <mergeCell ref="AG443:AI443"/>
    <mergeCell ref="O495:Q495"/>
    <mergeCell ref="V98:AD98"/>
    <mergeCell ref="AG479:AI479"/>
    <mergeCell ref="R383:V383"/>
    <mergeCell ref="L333:Q333"/>
    <mergeCell ref="W300:AA300"/>
    <mergeCell ref="AG445:AI445"/>
    <mergeCell ref="W272:AA272"/>
    <mergeCell ref="R410:V410"/>
    <mergeCell ref="AG481:AI481"/>
    <mergeCell ref="O399:Q399"/>
    <mergeCell ref="AG474:AI474"/>
    <mergeCell ref="B588:O588"/>
    <mergeCell ref="R411:V411"/>
    <mergeCell ref="Q99:U99"/>
    <mergeCell ref="AG505:AI505"/>
    <mergeCell ref="O513:Q513"/>
    <mergeCell ref="V116:AD116"/>
    <mergeCell ref="B590:O590"/>
    <mergeCell ref="L359:Q359"/>
    <mergeCell ref="R282:V282"/>
    <mergeCell ref="AG471:AI471"/>
    <mergeCell ref="V82:AD82"/>
    <mergeCell ref="S163:W163"/>
    <mergeCell ref="O546:Q546"/>
    <mergeCell ref="R307:V307"/>
    <mergeCell ref="V111:AD111"/>
    <mergeCell ref="AG375:AI375"/>
    <mergeCell ref="O427:Q427"/>
    <mergeCell ref="R437:V437"/>
    <mergeCell ref="AG527:AI527"/>
    <mergeCell ref="O541:Q541"/>
    <mergeCell ref="Q28:U28"/>
    <mergeCell ref="W354:AA354"/>
    <mergeCell ref="W477:Z477"/>
    <mergeCell ref="G63:P63"/>
    <mergeCell ref="R308:V308"/>
    <mergeCell ref="O412:Q412"/>
    <mergeCell ref="V108:AD108"/>
    <mergeCell ref="R422:V422"/>
    <mergeCell ref="W356:AA356"/>
    <mergeCell ref="R310:V310"/>
    <mergeCell ref="Q29:U29"/>
    <mergeCell ref="B601:O601"/>
    <mergeCell ref="Q23:U23"/>
    <mergeCell ref="O443:Q443"/>
    <mergeCell ref="B603:O603"/>
    <mergeCell ref="Q31:U31"/>
    <mergeCell ref="O445:Q445"/>
    <mergeCell ref="O567:Q567"/>
    <mergeCell ref="AG545:AI545"/>
    <mergeCell ref="AG520:AI520"/>
    <mergeCell ref="R449:V449"/>
    <mergeCell ref="W406:Z406"/>
    <mergeCell ref="O438:Q438"/>
    <mergeCell ref="O569:Q569"/>
    <mergeCell ref="W399:Z399"/>
    <mergeCell ref="O440:Q440"/>
    <mergeCell ref="AG388:AI388"/>
    <mergeCell ref="AB352:AF352"/>
    <mergeCell ref="W278:AA278"/>
    <mergeCell ref="AG546:AI546"/>
    <mergeCell ref="R450:V450"/>
    <mergeCell ref="G124:P124"/>
    <mergeCell ref="Q57:U57"/>
    <mergeCell ref="R477:V477"/>
    <mergeCell ref="S174:W174"/>
    <mergeCell ref="AB353:AF353"/>
    <mergeCell ref="O498:Q498"/>
    <mergeCell ref="Q42:U42"/>
    <mergeCell ref="AA408:AF408"/>
    <mergeCell ref="G119:P119"/>
    <mergeCell ref="AG573:AI573"/>
    <mergeCell ref="AG414:AI414"/>
    <mergeCell ref="W417:Z417"/>
    <mergeCell ref="AA410:AF410"/>
    <mergeCell ref="R379:V379"/>
    <mergeCell ref="W427:Z427"/>
    <mergeCell ref="W296:AA296"/>
    <mergeCell ref="R468:V468"/>
    <mergeCell ref="AG416:AI416"/>
    <mergeCell ref="AA403:AF403"/>
    <mergeCell ref="W419:Z419"/>
    <mergeCell ref="W306:AA306"/>
    <mergeCell ref="R381:V381"/>
    <mergeCell ref="W262:AA262"/>
    <mergeCell ref="R503:V503"/>
    <mergeCell ref="O370:Q370"/>
    <mergeCell ref="W418:Z418"/>
    <mergeCell ref="R380:V380"/>
    <mergeCell ref="AG470:AI470"/>
    <mergeCell ref="R374:V374"/>
    <mergeCell ref="W297:AA297"/>
    <mergeCell ref="W291:AA291"/>
    <mergeCell ref="Q95:U95"/>
    <mergeCell ref="O509:Q509"/>
    <mergeCell ref="AA550:AF550"/>
    <mergeCell ref="W445:Z445"/>
    <mergeCell ref="S159:W159"/>
    <mergeCell ref="S197:W197"/>
    <mergeCell ref="AG503:AI503"/>
    <mergeCell ref="O511:Q511"/>
    <mergeCell ref="AA421:AF421"/>
    <mergeCell ref="L357:Q357"/>
    <mergeCell ref="R521:V521"/>
    <mergeCell ref="Q96:U96"/>
    <mergeCell ref="AG496:AI496"/>
    <mergeCell ref="O510:Q510"/>
    <mergeCell ref="S161:W161"/>
    <mergeCell ref="V107:AD107"/>
    <mergeCell ref="S188:W188"/>
    <mergeCell ref="R514:V514"/>
    <mergeCell ref="W446:Z446"/>
    <mergeCell ref="W440:Z440"/>
    <mergeCell ref="AG498:AI498"/>
    <mergeCell ref="O512:Q512"/>
    <mergeCell ref="Q121:U121"/>
    <mergeCell ref="O506:Q506"/>
    <mergeCell ref="R522:V522"/>
    <mergeCell ref="W319:AA319"/>
    <mergeCell ref="R516:V516"/>
    <mergeCell ref="R552:V552"/>
    <mergeCell ref="V104:AD104"/>
    <mergeCell ref="AG485:AI485"/>
    <mergeCell ref="R306:V306"/>
    <mergeCell ref="AG487:AI487"/>
    <mergeCell ref="AG514:AI514"/>
    <mergeCell ref="W375:Z375"/>
    <mergeCell ref="R234:V234"/>
    <mergeCell ref="L228:Q228"/>
    <mergeCell ref="AG480:AI480"/>
    <mergeCell ref="O532:Q532"/>
    <mergeCell ref="W368:Z368"/>
    <mergeCell ref="AG516:AI516"/>
    <mergeCell ref="F145:AM145"/>
    <mergeCell ref="W370:Z370"/>
    <mergeCell ref="W249:AA249"/>
    <mergeCell ref="AA477:AF477"/>
    <mergeCell ref="R446:V446"/>
    <mergeCell ref="AG511:AI511"/>
    <mergeCell ref="R237:V237"/>
    <mergeCell ref="AW133:BB133"/>
    <mergeCell ref="R448:V448"/>
    <mergeCell ref="Q55:U55"/>
    <mergeCell ref="R319:V319"/>
    <mergeCell ref="AA379:AF379"/>
    <mergeCell ref="AG229:AI229"/>
    <mergeCell ref="AA493:AF493"/>
    <mergeCell ref="W388:Z388"/>
    <mergeCell ref="W510:Z510"/>
    <mergeCell ref="AA406:AF406"/>
    <mergeCell ref="W546:Z546"/>
    <mergeCell ref="O576:Q576"/>
    <mergeCell ref="AG353:AI353"/>
    <mergeCell ref="R464:V464"/>
    <mergeCell ref="AA399:AF399"/>
    <mergeCell ref="W390:Z390"/>
    <mergeCell ref="W512:Z512"/>
    <mergeCell ref="AG230:AI230"/>
    <mergeCell ref="W383:Z383"/>
    <mergeCell ref="O449:Q449"/>
    <mergeCell ref="R459:V459"/>
    <mergeCell ref="AG255:AI255"/>
    <mergeCell ref="W385:Z385"/>
    <mergeCell ref="Q66:U66"/>
    <mergeCell ref="R461:V461"/>
    <mergeCell ref="Q68:U68"/>
    <mergeCell ref="AA417:AF417"/>
    <mergeCell ref="W530:Z530"/>
    <mergeCell ref="AA427:AF427"/>
    <mergeCell ref="L302:Q302"/>
    <mergeCell ref="O475:Q475"/>
    <mergeCell ref="Q97:U97"/>
    <mergeCell ref="AG283:AI283"/>
    <mergeCell ref="AA419:AF419"/>
    <mergeCell ref="R485:V485"/>
    <mergeCell ref="R546:V546"/>
    <mergeCell ref="W436:Z436"/>
    <mergeCell ref="AA418:AF418"/>
    <mergeCell ref="W321:AA321"/>
    <mergeCell ref="AG285:AI285"/>
    <mergeCell ref="W525:Z525"/>
    <mergeCell ref="W315:AA315"/>
    <mergeCell ref="R512:V512"/>
    <mergeCell ref="R487:V487"/>
    <mergeCell ref="AB238:AF238"/>
    <mergeCell ref="W444:Z444"/>
    <mergeCell ref="R548:V548"/>
    <mergeCell ref="AA420:AF420"/>
    <mergeCell ref="W323:AA323"/>
    <mergeCell ref="AB240:AF240"/>
    <mergeCell ref="V43:AD43"/>
    <mergeCell ref="AG309:AI309"/>
    <mergeCell ref="AB233:AF233"/>
    <mergeCell ref="P589:S589"/>
    <mergeCell ref="AA445:AF445"/>
    <mergeCell ref="W460:Z460"/>
    <mergeCell ref="W454:Z454"/>
    <mergeCell ref="P597:S597"/>
    <mergeCell ref="AB235:AF235"/>
    <mergeCell ref="R574:V574"/>
    <mergeCell ref="W333:AA333"/>
    <mergeCell ref="AA446:AF446"/>
    <mergeCell ref="AA440:AF440"/>
    <mergeCell ref="AB230:AF230"/>
    <mergeCell ref="R540:V540"/>
    <mergeCell ref="AB266:AF266"/>
    <mergeCell ref="W455:Z455"/>
    <mergeCell ref="G32:P32"/>
    <mergeCell ref="R233:V233"/>
    <mergeCell ref="W334:AA334"/>
    <mergeCell ref="R531:V531"/>
    <mergeCell ref="R569:V569"/>
    <mergeCell ref="L252:Q252"/>
    <mergeCell ref="R556:V556"/>
    <mergeCell ref="G27:P27"/>
    <mergeCell ref="S196:W196"/>
    <mergeCell ref="AA368:AF368"/>
    <mergeCell ref="R558:V558"/>
    <mergeCell ref="L237:Q237"/>
    <mergeCell ref="O547:Q547"/>
    <mergeCell ref="R259:V259"/>
    <mergeCell ref="AG349:AI349"/>
    <mergeCell ref="AA491:AF491"/>
    <mergeCell ref="AB250:AF250"/>
    <mergeCell ref="AA370:AF370"/>
    <mergeCell ref="W483:Z483"/>
    <mergeCell ref="W508:Z508"/>
    <mergeCell ref="O549:Q549"/>
    <mergeCell ref="R261:V261"/>
    <mergeCell ref="R559:V559"/>
    <mergeCell ref="AB304:AF304"/>
    <mergeCell ref="AB279:AF279"/>
    <mergeCell ref="W468:Z468"/>
    <mergeCell ref="G45:P45"/>
    <mergeCell ref="AB281:AF281"/>
    <mergeCell ref="AT141:AY141"/>
    <mergeCell ref="L263:Q263"/>
    <mergeCell ref="AG253:AI253"/>
    <mergeCell ref="G47:P47"/>
    <mergeCell ref="AG551:AI551"/>
    <mergeCell ref="L265:Q265"/>
    <mergeCell ref="G46:P46"/>
    <mergeCell ref="AA388:AF388"/>
    <mergeCell ref="G40:P40"/>
    <mergeCell ref="AA510:AF510"/>
    <mergeCell ref="AG377:AI377"/>
    <mergeCell ref="O418:Q418"/>
    <mergeCell ref="Q93:U93"/>
    <mergeCell ref="AG254:AI254"/>
    <mergeCell ref="AG248:AI248"/>
    <mergeCell ref="AA390:AF390"/>
    <mergeCell ref="AA512:AF512"/>
    <mergeCell ref="W555:Z555"/>
    <mergeCell ref="O420:Q420"/>
    <mergeCell ref="R272:V272"/>
    <mergeCell ref="AB332:AF332"/>
    <mergeCell ref="AA383:AF383"/>
    <mergeCell ref="W521:Z521"/>
    <mergeCell ref="R483:V483"/>
    <mergeCell ref="R274:V274"/>
    <mergeCell ref="AA385:AF385"/>
    <mergeCell ref="W523:Z523"/>
    <mergeCell ref="I162:R162"/>
    <mergeCell ref="H1:AE1"/>
    <mergeCell ref="AA530:AF530"/>
    <mergeCell ref="W547:Z547"/>
    <mergeCell ref="P593:S593"/>
    <mergeCell ref="AB231:AF231"/>
    <mergeCell ref="S177:W177"/>
    <mergeCell ref="L309:Q309"/>
    <mergeCell ref="I157:R157"/>
    <mergeCell ref="P587:S587"/>
    <mergeCell ref="AG396:AI396"/>
    <mergeCell ref="I193:R193"/>
    <mergeCell ref="AG390:AI390"/>
    <mergeCell ref="AA532:AF532"/>
    <mergeCell ref="AB343:AF343"/>
    <mergeCell ref="W576:Z576"/>
    <mergeCell ref="AG267:AI267"/>
    <mergeCell ref="AA525:AF525"/>
    <mergeCell ref="R354:V354"/>
    <mergeCell ref="AA444:AF444"/>
    <mergeCell ref="AB345:AF345"/>
    <mergeCell ref="G117:P117"/>
    <mergeCell ref="R356:V356"/>
    <mergeCell ref="V25:AD25"/>
    <mergeCell ref="AB257:AF257"/>
    <mergeCell ref="I175:R175"/>
    <mergeCell ref="L337:Q337"/>
    <mergeCell ref="P615:S615"/>
    <mergeCell ref="AG318:AI318"/>
    <mergeCell ref="G112:P112"/>
    <mergeCell ref="AA460:AF460"/>
    <mergeCell ref="AA454:AF454"/>
    <mergeCell ref="L339:Q339"/>
    <mergeCell ref="R372:V372"/>
    <mergeCell ref="AG320:AI320"/>
    <mergeCell ref="P606:S606"/>
    <mergeCell ref="I176:R176"/>
    <mergeCell ref="R294:V294"/>
    <mergeCell ref="AB246:AF246"/>
    <mergeCell ref="AA455:AF455"/>
    <mergeCell ref="R555:V555"/>
    <mergeCell ref="R549:V549"/>
    <mergeCell ref="AB275:AF275"/>
    <mergeCell ref="W481:Z481"/>
    <mergeCell ref="I201:R201"/>
    <mergeCell ref="V84:AD84"/>
    <mergeCell ref="AA457:AF457"/>
    <mergeCell ref="AB241:AF241"/>
    <mergeCell ref="AB277:AF277"/>
    <mergeCell ref="H15:AO15"/>
    <mergeCell ref="AB270:AF270"/>
    <mergeCell ref="AG338:AI338"/>
    <mergeCell ref="AG460:AI460"/>
    <mergeCell ref="L261:Q261"/>
    <mergeCell ref="W497:Z497"/>
    <mergeCell ref="G36:P36"/>
    <mergeCell ref="L350:Q350"/>
    <mergeCell ref="AG462:AI462"/>
    <mergeCell ref="AG489:AI489"/>
    <mergeCell ref="AA508:AF508"/>
    <mergeCell ref="AA483:AF483"/>
    <mergeCell ref="L352:Q352"/>
    <mergeCell ref="O385:Q385"/>
    <mergeCell ref="AB328:AF328"/>
    <mergeCell ref="AG333:AI333"/>
    <mergeCell ref="AG252:AI252"/>
    <mergeCell ref="R298:V298"/>
    <mergeCell ref="W492:Z492"/>
    <mergeCell ref="B605:O605"/>
    <mergeCell ref="G69:P69"/>
    <mergeCell ref="AA468:AF468"/>
    <mergeCell ref="R270:V270"/>
    <mergeCell ref="R297:V297"/>
    <mergeCell ref="R568:V568"/>
    <mergeCell ref="W231:AA231"/>
    <mergeCell ref="AB288:AF288"/>
    <mergeCell ref="W494:Z494"/>
    <mergeCell ref="O530:Q530"/>
    <mergeCell ref="B607:O607"/>
    <mergeCell ref="R299:V299"/>
    <mergeCell ref="V99:AD99"/>
    <mergeCell ref="G64:P64"/>
    <mergeCell ref="L272:Q272"/>
    <mergeCell ref="B600:O600"/>
    <mergeCell ref="AG359:AI359"/>
    <mergeCell ref="V39:AD39"/>
    <mergeCell ref="L280:Q280"/>
    <mergeCell ref="L274:Q274"/>
    <mergeCell ref="AG392:AI392"/>
    <mergeCell ref="O444:Q444"/>
    <mergeCell ref="R296:V296"/>
    <mergeCell ref="AG263:AI263"/>
    <mergeCell ref="AA521:AF521"/>
    <mergeCell ref="AG394:AI394"/>
    <mergeCell ref="R325:V325"/>
    <mergeCell ref="AB347:AF347"/>
    <mergeCell ref="AB341:AF341"/>
    <mergeCell ref="W574:Z574"/>
    <mergeCell ref="AA523:AF523"/>
    <mergeCell ref="G82:P82"/>
    <mergeCell ref="Q46:U46"/>
    <mergeCell ref="V65:AD65"/>
    <mergeCell ref="R327:V327"/>
    <mergeCell ref="V21:AD21"/>
    <mergeCell ref="W244:AA244"/>
    <mergeCell ref="L300:Q300"/>
    <mergeCell ref="AB342:AF342"/>
    <mergeCell ref="AA554:AF554"/>
    <mergeCell ref="Q48:U48"/>
    <mergeCell ref="V23:AD23"/>
    <mergeCell ref="AG404:AI404"/>
    <mergeCell ref="L308:Q308"/>
    <mergeCell ref="P611:S611"/>
    <mergeCell ref="I181:R181"/>
    <mergeCell ref="G83:P83"/>
    <mergeCell ref="AA547:AF547"/>
    <mergeCell ref="AB344:AF344"/>
    <mergeCell ref="O455:Q455"/>
    <mergeCell ref="L335:Q335"/>
    <mergeCell ref="M222:AG222"/>
    <mergeCell ref="G110:P110"/>
    <mergeCell ref="AA555:AF555"/>
    <mergeCell ref="AA549:AF549"/>
    <mergeCell ref="I166:R166"/>
    <mergeCell ref="V24:AD24"/>
    <mergeCell ref="AG405:AI405"/>
    <mergeCell ref="P612:S612"/>
    <mergeCell ref="O457:Q457"/>
    <mergeCell ref="W558:Z558"/>
    <mergeCell ref="AG407:AI407"/>
    <mergeCell ref="V49:AD49"/>
    <mergeCell ref="R338:V338"/>
    <mergeCell ref="I199:R199"/>
    <mergeCell ref="O386:Q386"/>
    <mergeCell ref="V80:AD80"/>
    <mergeCell ref="I200:R200"/>
    <mergeCell ref="AB268:AF268"/>
    <mergeCell ref="L346:Q346"/>
    <mergeCell ref="I194:R194"/>
    <mergeCell ref="AG433:AI433"/>
    <mergeCell ref="L356:Q356"/>
    <mergeCell ref="O468:Q468"/>
    <mergeCell ref="W279:AA279"/>
    <mergeCell ref="L348:Q348"/>
    <mergeCell ref="O387:Q387"/>
    <mergeCell ref="O381:Q381"/>
    <mergeCell ref="AG435:AI435"/>
    <mergeCell ref="R391:V391"/>
    <mergeCell ref="AA481:AF481"/>
    <mergeCell ref="Q112:U112"/>
    <mergeCell ref="G25:P25"/>
    <mergeCell ref="S176:W176"/>
    <mergeCell ref="G60:P60"/>
    <mergeCell ref="AG355:AI355"/>
    <mergeCell ref="AA497:AF497"/>
    <mergeCell ref="B598:O598"/>
    <mergeCell ref="R409:V409"/>
    <mergeCell ref="AG357:AI357"/>
    <mergeCell ref="O371:Q371"/>
    <mergeCell ref="AG515:AI515"/>
    <mergeCell ref="O529:Q529"/>
    <mergeCell ref="O523:Q523"/>
    <mergeCell ref="AA492:AF492"/>
    <mergeCell ref="R321:V321"/>
    <mergeCell ref="O400:Q400"/>
    <mergeCell ref="AB312:AF312"/>
    <mergeCell ref="AG358:AI358"/>
    <mergeCell ref="R404:V404"/>
    <mergeCell ref="AA494:AF494"/>
    <mergeCell ref="B614:O614"/>
    <mergeCell ref="R323:V323"/>
    <mergeCell ref="B589:O589"/>
    <mergeCell ref="AB314:AF314"/>
    <mergeCell ref="W240:AA240"/>
    <mergeCell ref="AG531:AI531"/>
    <mergeCell ref="AB307:AF307"/>
    <mergeCell ref="AG497:AI497"/>
    <mergeCell ref="L298:Q298"/>
    <mergeCell ref="G79:P79"/>
    <mergeCell ref="W475:Z475"/>
    <mergeCell ref="G73:P73"/>
    <mergeCell ref="O451:Q451"/>
    <mergeCell ref="W235:AA235"/>
    <mergeCell ref="AG228:AI228"/>
    <mergeCell ref="AG526:AI526"/>
    <mergeCell ref="W387:Z387"/>
    <mergeCell ref="AA545:AF545"/>
    <mergeCell ref="Q39:U39"/>
    <mergeCell ref="W230:AA230"/>
    <mergeCell ref="O428:Q428"/>
    <mergeCell ref="R305:V305"/>
    <mergeCell ref="O453:Q453"/>
    <mergeCell ref="L299:Q299"/>
    <mergeCell ref="W266:AA266"/>
    <mergeCell ref="AG534:AI534"/>
    <mergeCell ref="R463:V463"/>
    <mergeCell ref="AG528:AI528"/>
    <mergeCell ref="O542:Q542"/>
    <mergeCell ref="W565:Z565"/>
    <mergeCell ref="W232:AA232"/>
    <mergeCell ref="R334:V334"/>
    <mergeCell ref="W268:AA268"/>
    <mergeCell ref="R465:V465"/>
    <mergeCell ref="V47:AD47"/>
    <mergeCell ref="R336:V336"/>
    <mergeCell ref="AA548:AF548"/>
    <mergeCell ref="G101:P101"/>
    <mergeCell ref="Q65:U65"/>
    <mergeCell ref="V76:AD76"/>
    <mergeCell ref="S157:W157"/>
    <mergeCell ref="AB239:AF239"/>
    <mergeCell ref="L317:Q317"/>
    <mergeCell ref="V48:AD48"/>
    <mergeCell ref="G92:P92"/>
    <mergeCell ref="I165:R165"/>
    <mergeCell ref="AG429:AI429"/>
    <mergeCell ref="O464:Q464"/>
    <mergeCell ref="W250:AA250"/>
    <mergeCell ref="AA564:AF564"/>
    <mergeCell ref="V77:AD77"/>
    <mergeCell ref="AA558:AF558"/>
    <mergeCell ref="W400:Z400"/>
    <mergeCell ref="AG431:AI431"/>
    <mergeCell ref="AG458:AI458"/>
    <mergeCell ref="O466:Q466"/>
    <mergeCell ref="R476:V476"/>
    <mergeCell ref="W402:Z402"/>
    <mergeCell ref="Q83:U83"/>
    <mergeCell ref="W281:AA281"/>
    <mergeCell ref="V66:AD66"/>
    <mergeCell ref="Q85:U85"/>
    <mergeCell ref="R232:V232"/>
    <mergeCell ref="G120:P120"/>
    <mergeCell ref="O492:Q492"/>
    <mergeCell ref="V95:AD95"/>
    <mergeCell ref="Q114:U114"/>
    <mergeCell ref="AA471:AF471"/>
    <mergeCell ref="I203:R203"/>
    <mergeCell ref="V61:AD61"/>
    <mergeCell ref="AG442:AI442"/>
    <mergeCell ref="O494:Q494"/>
    <mergeCell ref="AG302:AI302"/>
    <mergeCell ref="S172:W172"/>
    <mergeCell ref="O527:Q527"/>
    <mergeCell ref="R400:V400"/>
    <mergeCell ref="B585:O585"/>
    <mergeCell ref="R408:V408"/>
    <mergeCell ref="AG473:AI473"/>
    <mergeCell ref="R402:V402"/>
    <mergeCell ref="V115:AD115"/>
    <mergeCell ref="W456:Z456"/>
    <mergeCell ref="B587:O587"/>
    <mergeCell ref="V123:AD123"/>
    <mergeCell ref="G44:P44"/>
    <mergeCell ref="R547:V547"/>
    <mergeCell ref="W472:Z472"/>
    <mergeCell ref="R434:V434"/>
    <mergeCell ref="AG524:AI524"/>
    <mergeCell ref="O538:Q538"/>
    <mergeCell ref="R428:V428"/>
    <mergeCell ref="W351:AA351"/>
    <mergeCell ref="W228:AA228"/>
    <mergeCell ref="O548:Q548"/>
    <mergeCell ref="W474:Z474"/>
    <mergeCell ref="W264:AA264"/>
    <mergeCell ref="R436:V436"/>
    <mergeCell ref="O540:Q540"/>
    <mergeCell ref="K219:AC219"/>
    <mergeCell ref="W353:AA353"/>
    <mergeCell ref="W257:AA257"/>
    <mergeCell ref="AA475:AF475"/>
    <mergeCell ref="O564:Q564"/>
    <mergeCell ref="AG542:AI542"/>
    <mergeCell ref="Q21:U21"/>
    <mergeCell ref="AA387:AF387"/>
    <mergeCell ref="AG552:AI552"/>
    <mergeCell ref="O566:Q566"/>
    <mergeCell ref="AG237:AI237"/>
    <mergeCell ref="W396:Z396"/>
    <mergeCell ref="W371:Z371"/>
    <mergeCell ref="R570:V570"/>
    <mergeCell ref="AG245:AI245"/>
    <mergeCell ref="W248:AA248"/>
    <mergeCell ref="W275:AA275"/>
    <mergeCell ref="AG543:AI543"/>
    <mergeCell ref="R472:V472"/>
    <mergeCell ref="R447:V447"/>
    <mergeCell ref="W398:Z398"/>
    <mergeCell ref="W247:AA247"/>
    <mergeCell ref="R482:V482"/>
    <mergeCell ref="Q79:U79"/>
    <mergeCell ref="W277:AA277"/>
    <mergeCell ref="R474:V474"/>
    <mergeCell ref="AG568:AI568"/>
    <mergeCell ref="W276:AA276"/>
    <mergeCell ref="Q81:U81"/>
    <mergeCell ref="W243:AA243"/>
    <mergeCell ref="G116:P116"/>
    <mergeCell ref="Q74:U74"/>
    <mergeCell ref="O488:Q488"/>
    <mergeCell ref="AA371:AF371"/>
    <mergeCell ref="Q110:U110"/>
    <mergeCell ref="AG271:AI271"/>
    <mergeCell ref="AG265:AI265"/>
    <mergeCell ref="AG563:AI563"/>
    <mergeCell ref="G118:P118"/>
    <mergeCell ref="W424:Z424"/>
    <mergeCell ref="Q76:U76"/>
    <mergeCell ref="O490:Q490"/>
    <mergeCell ref="AA400:AF400"/>
    <mergeCell ref="W538:Z538"/>
    <mergeCell ref="S168:W168"/>
    <mergeCell ref="AG571:AI571"/>
    <mergeCell ref="R500:V500"/>
    <mergeCell ref="AG565:AI565"/>
    <mergeCell ref="AA372:AF372"/>
    <mergeCell ref="S167:W167"/>
    <mergeCell ref="W409:Z409"/>
    <mergeCell ref="AA402:AF402"/>
    <mergeCell ref="R371:V371"/>
    <mergeCell ref="R231:V231"/>
    <mergeCell ref="R502:V502"/>
    <mergeCell ref="O491:Q491"/>
    <mergeCell ref="S169:W169"/>
    <mergeCell ref="R501:V501"/>
    <mergeCell ref="S165:W165"/>
    <mergeCell ref="Q92:U92"/>
    <mergeCell ref="Q102:U102"/>
    <mergeCell ref="S200:W200"/>
    <mergeCell ref="Q94:U94"/>
    <mergeCell ref="S194:W194"/>
    <mergeCell ref="I174:R174"/>
    <mergeCell ref="S160:W160"/>
    <mergeCell ref="AG284:AI284"/>
    <mergeCell ref="W443:Z443"/>
    <mergeCell ref="V114:AD114"/>
    <mergeCell ref="P605:S605"/>
    <mergeCell ref="Q89:U89"/>
    <mergeCell ref="AG495:AI495"/>
    <mergeCell ref="W347:AA347"/>
    <mergeCell ref="W322:AA322"/>
    <mergeCell ref="R513:V513"/>
    <mergeCell ref="W470:Z470"/>
    <mergeCell ref="P607:S607"/>
    <mergeCell ref="R432:V432"/>
    <mergeCell ref="W288:AA288"/>
    <mergeCell ref="Q120:U120"/>
    <mergeCell ref="W349:AA349"/>
    <mergeCell ref="AA456:AF456"/>
    <mergeCell ref="W342:AA342"/>
    <mergeCell ref="L354:Q354"/>
    <mergeCell ref="S184:W184"/>
    <mergeCell ref="R427:V427"/>
    <mergeCell ref="Q115:U115"/>
    <mergeCell ref="W344:AA344"/>
    <mergeCell ref="AG337:AI337"/>
    <mergeCell ref="W496:Z496"/>
    <mergeCell ref="L227:Q227"/>
    <mergeCell ref="S179:W179"/>
    <mergeCell ref="AG548:AI548"/>
    <mergeCell ref="AA472:AF472"/>
    <mergeCell ref="O562:Q562"/>
    <mergeCell ref="AG339:AI339"/>
    <mergeCell ref="O380:Q380"/>
    <mergeCell ref="W367:Z367"/>
    <mergeCell ref="Q19:U19"/>
    <mergeCell ref="AA474:AF474"/>
    <mergeCell ref="R443:V443"/>
    <mergeCell ref="W369:Z369"/>
    <mergeCell ref="W527:Z527"/>
    <mergeCell ref="Q44:U44"/>
    <mergeCell ref="R445:V445"/>
    <mergeCell ref="AB287:AF287"/>
    <mergeCell ref="L278:Q278"/>
    <mergeCell ref="G53:P53"/>
    <mergeCell ref="AB289:AF289"/>
    <mergeCell ref="Q45:U45"/>
    <mergeCell ref="AG236:AI236"/>
    <mergeCell ref="Q47:U47"/>
    <mergeCell ref="AG350:AI350"/>
    <mergeCell ref="L273:Q273"/>
    <mergeCell ref="AA396:AF396"/>
    <mergeCell ref="W509:Z509"/>
    <mergeCell ref="AA527:AF527"/>
    <mergeCell ref="AG567:AI567"/>
    <mergeCell ref="AG561:AI561"/>
    <mergeCell ref="O575:Q575"/>
    <mergeCell ref="AB305:AF305"/>
    <mergeCell ref="AA398:AF398"/>
    <mergeCell ref="W511:Z511"/>
    <mergeCell ref="AG569:AI569"/>
    <mergeCell ref="O577:Q577"/>
    <mergeCell ref="R280:V280"/>
    <mergeCell ref="V27:AD27"/>
    <mergeCell ref="AG264:AI264"/>
    <mergeCell ref="L306:Q306"/>
    <mergeCell ref="Q63:U63"/>
    <mergeCell ref="W540:Z540"/>
    <mergeCell ref="R527:V527"/>
    <mergeCell ref="L297:Q297"/>
    <mergeCell ref="AA553:AF553"/>
    <mergeCell ref="L291:Q291"/>
    <mergeCell ref="V22:AD22"/>
    <mergeCell ref="AA424:AF424"/>
    <mergeCell ref="AG280:AI280"/>
    <mergeCell ref="L293:Q293"/>
    <mergeCell ref="AA538:AF538"/>
    <mergeCell ref="W439:Z439"/>
    <mergeCell ref="W433:Z433"/>
    <mergeCell ref="L292:Q292"/>
    <mergeCell ref="W318:AA318"/>
    <mergeCell ref="AG282:AI282"/>
    <mergeCell ref="AA409:AF409"/>
    <mergeCell ref="W312:AA312"/>
    <mergeCell ref="AA546:AF546"/>
    <mergeCell ref="S193:W193"/>
    <mergeCell ref="W435:Z435"/>
    <mergeCell ref="L294:Q294"/>
    <mergeCell ref="AG406:AI406"/>
    <mergeCell ref="W314:AA314"/>
    <mergeCell ref="R511:V511"/>
    <mergeCell ref="V40:AD40"/>
    <mergeCell ref="W313:AA313"/>
    <mergeCell ref="AG277:AI277"/>
    <mergeCell ref="S180:W180"/>
    <mergeCell ref="AA541:AF541"/>
    <mergeCell ref="Q117:U117"/>
    <mergeCell ref="Q111:U111"/>
    <mergeCell ref="AG308:AI308"/>
    <mergeCell ref="S203:W203"/>
    <mergeCell ref="AB232:AF232"/>
    <mergeCell ref="V41:AD41"/>
    <mergeCell ref="AG422:AI422"/>
    <mergeCell ref="S175:W175"/>
    <mergeCell ref="AA443:AF443"/>
    <mergeCell ref="AG335:AI335"/>
    <mergeCell ref="R239:V239"/>
    <mergeCell ref="R537:V537"/>
    <mergeCell ref="S204:W204"/>
    <mergeCell ref="AA470:AF470"/>
    <mergeCell ref="AB229:AF229"/>
    <mergeCell ref="R572:V572"/>
    <mergeCell ref="R230:V230"/>
    <mergeCell ref="R268:V268"/>
    <mergeCell ref="R240:V240"/>
    <mergeCell ref="S206:W206"/>
    <mergeCell ref="AB283:AF283"/>
    <mergeCell ref="L249:Q249"/>
    <mergeCell ref="G24:P24"/>
    <mergeCell ref="W326:AA326"/>
    <mergeCell ref="AB285:AF285"/>
    <mergeCell ref="W239:AA239"/>
    <mergeCell ref="O368:Q368"/>
    <mergeCell ref="G26:P26"/>
    <mergeCell ref="L234:Q234"/>
    <mergeCell ref="AA496:AF496"/>
    <mergeCell ref="AG346:AI346"/>
    <mergeCell ref="R250:V250"/>
    <mergeCell ref="L244:Q244"/>
    <mergeCell ref="AA367:AF367"/>
    <mergeCell ref="W480:Z480"/>
    <mergeCell ref="AG356:AI356"/>
    <mergeCell ref="AA498:AF498"/>
    <mergeCell ref="L236:Q236"/>
    <mergeCell ref="AG348:AI348"/>
    <mergeCell ref="Q72:U72"/>
    <mergeCell ref="AB301:AF301"/>
    <mergeCell ref="AA369:AF369"/>
    <mergeCell ref="W507:Z507"/>
    <mergeCell ref="W534:Z534"/>
    <mergeCell ref="AG347:AI347"/>
    <mergeCell ref="R276:V276"/>
    <mergeCell ref="R251:V251"/>
    <mergeCell ref="AB311:AF311"/>
    <mergeCell ref="G42:P42"/>
    <mergeCell ref="R287:V287"/>
    <mergeCell ref="AB303:AF303"/>
    <mergeCell ref="W536:Z536"/>
    <mergeCell ref="R253:V253"/>
    <mergeCell ref="R551:V551"/>
    <mergeCell ref="L262:Q262"/>
    <mergeCell ref="G37:P37"/>
    <mergeCell ref="AG374:AI374"/>
    <mergeCell ref="O388:Q388"/>
    <mergeCell ref="AG251:AI251"/>
    <mergeCell ref="AA509:AF509"/>
    <mergeCell ref="O417:Q417"/>
    <mergeCell ref="W562:Z562"/>
    <mergeCell ref="W518:Z518"/>
    <mergeCell ref="O383:Q383"/>
    <mergeCell ref="R480:V480"/>
    <mergeCell ref="AA511:AF511"/>
    <mergeCell ref="AB322:AF322"/>
    <mergeCell ref="O419:Q419"/>
    <mergeCell ref="L290:Q290"/>
    <mergeCell ref="AG246:AI246"/>
    <mergeCell ref="W520:Z520"/>
    <mergeCell ref="AB330:AF330"/>
    <mergeCell ref="AB324:AF324"/>
    <mergeCell ref="AG273:AI273"/>
    <mergeCell ref="G96:P96"/>
    <mergeCell ref="R335:V335"/>
    <mergeCell ref="G98:P98"/>
    <mergeCell ref="H362:AO362"/>
    <mergeCell ref="AG418:AI418"/>
    <mergeCell ref="AG393:AI393"/>
    <mergeCell ref="R322:V322"/>
    <mergeCell ref="O470:Q470"/>
    <mergeCell ref="L316:Q316"/>
    <mergeCell ref="AA439:AF439"/>
    <mergeCell ref="AA433:AF433"/>
    <mergeCell ref="AG306:AI306"/>
    <mergeCell ref="AG420:AI420"/>
    <mergeCell ref="R351:V351"/>
    <mergeCell ref="AA441:AF441"/>
    <mergeCell ref="G93:P93"/>
    <mergeCell ref="P585:S585"/>
    <mergeCell ref="AA435:AF435"/>
    <mergeCell ref="AG299:AI299"/>
    <mergeCell ref="W575:Z575"/>
    <mergeCell ref="R264:V264"/>
    <mergeCell ref="O465:Q465"/>
    <mergeCell ref="R562:V562"/>
    <mergeCell ref="R317:V317"/>
    <mergeCell ref="V64:AD64"/>
    <mergeCell ref="G108:P108"/>
    <mergeCell ref="R353:V353"/>
    <mergeCell ref="AB254:AF254"/>
    <mergeCell ref="W577:Z577"/>
    <mergeCell ref="P610:S610"/>
    <mergeCell ref="I180:R180"/>
    <mergeCell ref="AA436:AF436"/>
    <mergeCell ref="V93:AD93"/>
    <mergeCell ref="AB256:AF256"/>
    <mergeCell ref="L334:Q334"/>
    <mergeCell ref="I182:R182"/>
    <mergeCell ref="G109:P109"/>
    <mergeCell ref="R348:V348"/>
    <mergeCell ref="AG446:AI446"/>
    <mergeCell ref="G22:P22"/>
    <mergeCell ref="AG317:AI317"/>
    <mergeCell ref="G111:P111"/>
    <mergeCell ref="O369:Q369"/>
    <mergeCell ref="L240:Q240"/>
    <mergeCell ref="AG439:AI439"/>
    <mergeCell ref="AA575:AF575"/>
    <mergeCell ref="O489:Q489"/>
    <mergeCell ref="O483:Q483"/>
    <mergeCell ref="P613:S613"/>
    <mergeCell ref="L329:Q329"/>
    <mergeCell ref="AG319:AI319"/>
    <mergeCell ref="AG441:AI441"/>
    <mergeCell ref="AA577:AF577"/>
    <mergeCell ref="AB272:AF272"/>
    <mergeCell ref="R406:V406"/>
    <mergeCell ref="AG477:AI477"/>
    <mergeCell ref="L331:Q331"/>
    <mergeCell ref="R247:V247"/>
    <mergeCell ref="R283:V283"/>
    <mergeCell ref="O484:Q484"/>
    <mergeCell ref="R277:V277"/>
    <mergeCell ref="S158:W158"/>
    <mergeCell ref="R249:V249"/>
    <mergeCell ref="AG314:AI314"/>
    <mergeCell ref="AB267:AF267"/>
    <mergeCell ref="W473:Z473"/>
    <mergeCell ref="R577:V577"/>
    <mergeCell ref="V112:AD112"/>
    <mergeCell ref="B586:O586"/>
    <mergeCell ref="V106:AD106"/>
    <mergeCell ref="W352:AA352"/>
    <mergeCell ref="G33:P33"/>
    <mergeCell ref="R278:V278"/>
    <mergeCell ref="AG370:AI370"/>
    <mergeCell ref="AB269:AF269"/>
    <mergeCell ref="V78:AD78"/>
    <mergeCell ref="V105:AD105"/>
    <mergeCell ref="AG459:AI459"/>
    <mergeCell ref="J7:AH7"/>
    <mergeCell ref="L260:Q260"/>
    <mergeCell ref="G35:P35"/>
    <mergeCell ref="O413:Q413"/>
    <mergeCell ref="L259:Q259"/>
    <mergeCell ref="AG461:AI461"/>
    <mergeCell ref="AA507:AF507"/>
    <mergeCell ref="O415:Q415"/>
    <mergeCell ref="R267:V267"/>
    <mergeCell ref="AG454:AI454"/>
    <mergeCell ref="AG242:AI242"/>
    <mergeCell ref="R425:V425"/>
    <mergeCell ref="AG373:AI373"/>
    <mergeCell ref="R419:V419"/>
    <mergeCell ref="G59:P59"/>
    <mergeCell ref="AB320:AF320"/>
    <mergeCell ref="AB295:AF295"/>
    <mergeCell ref="Q26:U26"/>
    <mergeCell ref="R418:V418"/>
    <mergeCell ref="G67:P67"/>
    <mergeCell ref="G61:P61"/>
    <mergeCell ref="O410:Q410"/>
    <mergeCell ref="B597:O597"/>
    <mergeCell ref="R262:V262"/>
    <mergeCell ref="R420:V420"/>
    <mergeCell ref="B599:O599"/>
    <mergeCell ref="Q27:U27"/>
    <mergeCell ref="O441:Q441"/>
    <mergeCell ref="AG389:AI389"/>
    <mergeCell ref="W489:Z489"/>
    <mergeCell ref="AG383:AI383"/>
    <mergeCell ref="G62:P62"/>
    <mergeCell ref="O555:Q555"/>
    <mergeCell ref="AB323:AF323"/>
    <mergeCell ref="O434:Q434"/>
    <mergeCell ref="AA518:AF518"/>
    <mergeCell ref="AG385:AI385"/>
    <mergeCell ref="O426:Q426"/>
    <mergeCell ref="W571:Z571"/>
    <mergeCell ref="AG384:AI384"/>
    <mergeCell ref="O436:Q436"/>
    <mergeCell ref="R288:V288"/>
    <mergeCell ref="AA520:AF520"/>
    <mergeCell ref="R349:V349"/>
    <mergeCell ref="R324:V324"/>
    <mergeCell ref="W543:Z543"/>
    <mergeCell ref="Q37:U37"/>
    <mergeCell ref="F137:BV137"/>
    <mergeCell ref="W573:Z573"/>
    <mergeCell ref="AG386:AI386"/>
    <mergeCell ref="W238:AA238"/>
    <mergeCell ref="AB333:AF333"/>
    <mergeCell ref="I178:R178"/>
    <mergeCell ref="Q38:U38"/>
    <mergeCell ref="W263:AA263"/>
    <mergeCell ref="I207:R207"/>
    <mergeCell ref="W413:Z413"/>
    <mergeCell ref="Q40:U40"/>
    <mergeCell ref="R375:V375"/>
    <mergeCell ref="O454:Q454"/>
    <mergeCell ref="L325:Q325"/>
    <mergeCell ref="W292:AA292"/>
    <mergeCell ref="AG560:AI560"/>
    <mergeCell ref="R489:V489"/>
    <mergeCell ref="AG437:AI437"/>
    <mergeCell ref="AG412:AI412"/>
    <mergeCell ref="W415:Z415"/>
    <mergeCell ref="R377:V377"/>
    <mergeCell ref="W258:AA258"/>
    <mergeCell ref="L327:Q327"/>
    <mergeCell ref="W294:AA294"/>
    <mergeCell ref="R370:V370"/>
    <mergeCell ref="W287:AA287"/>
    <mergeCell ref="AA574:AF574"/>
    <mergeCell ref="W410:Z410"/>
    <mergeCell ref="O482:Q482"/>
    <mergeCell ref="Q91:U91"/>
    <mergeCell ref="W289:AA289"/>
    <mergeCell ref="W441:Z441"/>
    <mergeCell ref="V74:AD74"/>
    <mergeCell ref="I191:R191"/>
    <mergeCell ref="O507:Q507"/>
    <mergeCell ref="AG430:AI430"/>
    <mergeCell ref="J3:AH3"/>
    <mergeCell ref="V110:AD110"/>
    <mergeCell ref="R517:V517"/>
    <mergeCell ref="O384:Q384"/>
    <mergeCell ref="V103:AD103"/>
    <mergeCell ref="AG484:AI484"/>
    <mergeCell ref="R388:V388"/>
    <mergeCell ref="I192:R192"/>
    <mergeCell ref="O508:Q508"/>
    <mergeCell ref="O502:Q502"/>
    <mergeCell ref="S186:W186"/>
    <mergeCell ref="AG486:AI486"/>
    <mergeCell ref="R390:V390"/>
    <mergeCell ref="Q109:U109"/>
    <mergeCell ref="L340:Q340"/>
    <mergeCell ref="O379:Q379"/>
    <mergeCell ref="AG452:AI452"/>
    <mergeCell ref="R389:V389"/>
    <mergeCell ref="AA473:AF473"/>
    <mergeCell ref="B593:O593"/>
    <mergeCell ref="AB293:AF293"/>
    <mergeCell ref="R385:V385"/>
    <mergeCell ref="AG483:AI483"/>
    <mergeCell ref="AG510:AI510"/>
    <mergeCell ref="V121:AD121"/>
    <mergeCell ref="B595:O595"/>
    <mergeCell ref="AG476:AI476"/>
    <mergeCell ref="G58:P58"/>
    <mergeCell ref="V87:AD87"/>
    <mergeCell ref="AG512:AI512"/>
    <mergeCell ref="O526:Q526"/>
    <mergeCell ref="AG468:AI468"/>
    <mergeCell ref="O520:Q520"/>
    <mergeCell ref="R530:V530"/>
    <mergeCell ref="R318:V318"/>
    <mergeCell ref="AG478:AI478"/>
    <mergeCell ref="F141:AM141"/>
    <mergeCell ref="V89:AD89"/>
    <mergeCell ref="W366:Z366"/>
    <mergeCell ref="O432:Q432"/>
    <mergeCell ref="R532:V532"/>
    <mergeCell ref="R320:V320"/>
    <mergeCell ref="AG507:AI507"/>
    <mergeCell ref="R314:V314"/>
    <mergeCell ref="O521:Q521"/>
    <mergeCell ref="V120:AD120"/>
    <mergeCell ref="R286:V286"/>
    <mergeCell ref="R444:V444"/>
    <mergeCell ref="V113:AD113"/>
    <mergeCell ref="L242:Q242"/>
    <mergeCell ref="B606:O606"/>
    <mergeCell ref="R315:V315"/>
    <mergeCell ref="Q34:U34"/>
    <mergeCell ref="AA489:AF489"/>
    <mergeCell ref="W384:Z384"/>
    <mergeCell ref="Q36:U36"/>
    <mergeCell ref="V55:AD55"/>
    <mergeCell ref="Q30:U30"/>
    <mergeCell ref="O450:Q450"/>
    <mergeCell ref="O572:Q572"/>
    <mergeCell ref="AG227:AI227"/>
    <mergeCell ref="R460:V460"/>
    <mergeCell ref="AG525:AI525"/>
    <mergeCell ref="O539:Q539"/>
    <mergeCell ref="W386:Z386"/>
    <mergeCell ref="AG444:AI444"/>
    <mergeCell ref="W229:AA229"/>
    <mergeCell ref="O452:Q452"/>
    <mergeCell ref="O574:Q574"/>
    <mergeCell ref="AA543:AF543"/>
    <mergeCell ref="R462:V462"/>
    <mergeCell ref="W379:Z379"/>
    <mergeCell ref="AB357:AF357"/>
    <mergeCell ref="R333:V333"/>
    <mergeCell ref="R455:V455"/>
    <mergeCell ref="W381:Z381"/>
    <mergeCell ref="Q62:U62"/>
    <mergeCell ref="W285:AA285"/>
    <mergeCell ref="F149:AM149"/>
    <mergeCell ref="W260:AA260"/>
    <mergeCell ref="R457:V457"/>
    <mergeCell ref="Q54:U54"/>
    <mergeCell ref="V45:AD45"/>
    <mergeCell ref="Q64:U64"/>
    <mergeCell ref="AG426:AI426"/>
    <mergeCell ref="W526:Z526"/>
    <mergeCell ref="W397:Z397"/>
    <mergeCell ref="AG428:AI428"/>
    <mergeCell ref="AA415:AF415"/>
    <mergeCell ref="W528:Z528"/>
    <mergeCell ref="G126:P126"/>
    <mergeCell ref="I188:R188"/>
    <mergeCell ref="R515:V515"/>
    <mergeCell ref="AG421:AI421"/>
    <mergeCell ref="O473:Q473"/>
    <mergeCell ref="R475:V475"/>
    <mergeCell ref="AG423:AI423"/>
    <mergeCell ref="W269:AA269"/>
    <mergeCell ref="P592:S592"/>
    <mergeCell ref="R387:V387"/>
    <mergeCell ref="Q100:U100"/>
    <mergeCell ref="Q75:U75"/>
    <mergeCell ref="W304:AA304"/>
    <mergeCell ref="AA397:AF397"/>
    <mergeCell ref="AG297:AI297"/>
    <mergeCell ref="AG508:AI508"/>
    <mergeCell ref="R228:V228"/>
    <mergeCell ref="W329:AA329"/>
    <mergeCell ref="R526:V526"/>
    <mergeCell ref="W452:Z452"/>
    <mergeCell ref="S166:W166"/>
    <mergeCell ref="AG292:AI292"/>
    <mergeCell ref="AA434:AF434"/>
    <mergeCell ref="W331:AA331"/>
    <mergeCell ref="R257:V257"/>
    <mergeCell ref="W451:Z451"/>
    <mergeCell ref="R528:V528"/>
    <mergeCell ref="O517:Q517"/>
    <mergeCell ref="W330:AA330"/>
    <mergeCell ref="AG294:AI294"/>
    <mergeCell ref="AB247:AF247"/>
    <mergeCell ref="W453:Z453"/>
    <mergeCell ref="O519:Q519"/>
    <mergeCell ref="V109:AD109"/>
    <mergeCell ref="L238:Q238"/>
    <mergeCell ref="W332:AA332"/>
    <mergeCell ref="R529:V529"/>
    <mergeCell ref="R523:V523"/>
    <mergeCell ref="O544:Q544"/>
    <mergeCell ref="R554:V554"/>
    <mergeCell ref="L233:Q233"/>
    <mergeCell ref="AG521:AI521"/>
    <mergeCell ref="L235:Q235"/>
    <mergeCell ref="AG493:AI493"/>
    <mergeCell ref="O545:Q545"/>
    <mergeCell ref="W471:Z471"/>
    <mergeCell ref="AG523:AI523"/>
    <mergeCell ref="O416:Q416"/>
    <mergeCell ref="W227:AA227"/>
    <mergeCell ref="W464:Z464"/>
    <mergeCell ref="W254:AA254"/>
    <mergeCell ref="AA482:AF482"/>
    <mergeCell ref="R451:V451"/>
    <mergeCell ref="R426:V426"/>
    <mergeCell ref="AG522:AI522"/>
    <mergeCell ref="G41:P41"/>
    <mergeCell ref="W377:Z377"/>
    <mergeCell ref="W343:AA343"/>
    <mergeCell ref="AB302:AF302"/>
    <mergeCell ref="Q58:U58"/>
    <mergeCell ref="W466:Z466"/>
    <mergeCell ref="W256:AA256"/>
    <mergeCell ref="R453:V453"/>
    <mergeCell ref="AG249:AI249"/>
    <mergeCell ref="G43:P43"/>
    <mergeCell ref="W345:AA345"/>
    <mergeCell ref="Q60:U60"/>
    <mergeCell ref="AA384:AF384"/>
    <mergeCell ref="W522:Z522"/>
    <mergeCell ref="S205:W205"/>
    <mergeCell ref="AG549:AI549"/>
    <mergeCell ref="O563:Q563"/>
    <mergeCell ref="R269:V269"/>
    <mergeCell ref="W393:Z393"/>
    <mergeCell ref="AG244:AI244"/>
    <mergeCell ref="AA386:AF386"/>
    <mergeCell ref="O556:Q556"/>
    <mergeCell ref="W395:Z395"/>
    <mergeCell ref="W517:Z517"/>
    <mergeCell ref="AG550:AI550"/>
    <mergeCell ref="W553:Z553"/>
    <mergeCell ref="AG544:AI544"/>
    <mergeCell ref="O558:Q558"/>
    <mergeCell ref="AA381:AF381"/>
    <mergeCell ref="R481:V481"/>
    <mergeCell ref="P588:S588"/>
    <mergeCell ref="L279:Q279"/>
    <mergeCell ref="AG391:AI391"/>
    <mergeCell ref="AG448:AI448"/>
    <mergeCell ref="R352:V352"/>
    <mergeCell ref="Q71:U71"/>
    <mergeCell ref="R466:V466"/>
    <mergeCell ref="AG262:AI262"/>
    <mergeCell ref="AA526:AF526"/>
    <mergeCell ref="W421:Z421"/>
    <mergeCell ref="Q73:U73"/>
    <mergeCell ref="AG234:AI234"/>
    <mergeCell ref="W535:Z535"/>
    <mergeCell ref="AA528:AF528"/>
    <mergeCell ref="R497:V497"/>
    <mergeCell ref="W423:Z423"/>
    <mergeCell ref="P591:S591"/>
    <mergeCell ref="R499:V499"/>
    <mergeCell ref="AG290:AI290"/>
    <mergeCell ref="W295:AA295"/>
    <mergeCell ref="R492:V492"/>
    <mergeCell ref="P586:S586"/>
    <mergeCell ref="AA425:AF425"/>
    <mergeCell ref="W328:AA328"/>
    <mergeCell ref="R494:V494"/>
    <mergeCell ref="AB245:AF245"/>
    <mergeCell ref="P601:S601"/>
    <mergeCell ref="I171:R171"/>
    <mergeCell ref="Q101:U101"/>
    <mergeCell ref="W563:Z563"/>
    <mergeCell ref="P603:S603"/>
    <mergeCell ref="I173:R173"/>
    <mergeCell ref="AA539:AF539"/>
    <mergeCell ref="R368:V368"/>
    <mergeCell ref="S192:W192"/>
    <mergeCell ref="AG316:AI316"/>
    <mergeCell ref="P602:S602"/>
    <mergeCell ref="AA452:AF452"/>
    <mergeCell ref="P596:S596"/>
    <mergeCell ref="L231:Q231"/>
    <mergeCell ref="AA451:AF451"/>
    <mergeCell ref="P604:S604"/>
    <mergeCell ref="AG494:AI494"/>
    <mergeCell ref="AB271:AF271"/>
    <mergeCell ref="AA453:AF453"/>
    <mergeCell ref="R238:V238"/>
    <mergeCell ref="AB273:AF273"/>
    <mergeCell ref="W462:Z462"/>
    <mergeCell ref="R424:V424"/>
    <mergeCell ref="G39:P39"/>
    <mergeCell ref="W341:AA341"/>
    <mergeCell ref="R538:V538"/>
    <mergeCell ref="AG334:AI334"/>
    <mergeCell ref="L257:Q257"/>
    <mergeCell ref="W493:Z493"/>
    <mergeCell ref="S201:W201"/>
    <mergeCell ref="R265:V265"/>
    <mergeCell ref="R563:V563"/>
    <mergeCell ref="AG329:AI329"/>
    <mergeCell ref="AB255:AF255"/>
    <mergeCell ref="W488:Z488"/>
    <mergeCell ref="R565:V565"/>
  </mergeCells>
  <pageMargins left="0.0393700787401575" right="0.0393700787401575" top="0.0393700787401575" bottom="0.0393700787401575" header="0.0393700787401575" footer="0.0393700787401575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5" customWidth="1" style="36" min="1" max="1"/>
    <col width="26" customWidth="1" style="36" min="2" max="2"/>
    <col width="26" customWidth="1" style="36" min="3" max="3"/>
    <col width="25" customWidth="1" style="36" min="4" max="4"/>
  </cols>
  <sheetData>
    <row r="1">
      <c r="A1" s="39" t="inlineStr">
        <is>
          <t>Synthèse KPI Accolade — flux 17072026</t>
        </is>
      </c>
    </row>
    <row r="2"/>
    <row r="3">
      <c r="A3" s="40" t="inlineStr">
        <is>
          <t>KPI issus de la feuille source</t>
        </is>
      </c>
    </row>
    <row r="4">
      <c r="A4" s="41" t="inlineStr">
        <is>
          <t>KPI 1 — Nouvelles souscriptions Accolade depuis 01/01/2024</t>
        </is>
      </c>
      <c r="B4" s="42" t="n">
        <v>3580988</v>
      </c>
    </row>
    <row r="5">
      <c r="A5" s="41" t="inlineStr">
        <is>
          <t>KPI 2 — Résiliations Accolade toutes dates</t>
        </is>
      </c>
      <c r="B5" s="42" t="n">
        <v>544129</v>
      </c>
    </row>
    <row r="6">
      <c r="A6" s="41" t="inlineStr">
        <is>
          <t>KPI 2 Bis — Résiliations Accolade depuis 01/01/2024</t>
        </is>
      </c>
      <c r="B6" s="42" t="n">
        <v>490383</v>
      </c>
    </row>
    <row r="7"/>
    <row r="8">
      <c r="A8" s="40" t="inlineStr">
        <is>
          <t>Portefeuille</t>
        </is>
      </c>
    </row>
    <row r="9">
      <c r="A9" s="41" t="inlineStr">
        <is>
          <t>Total pp non radiés</t>
        </is>
      </c>
      <c r="B9" s="42" t="n">
        <v>4101027</v>
      </c>
    </row>
    <row r="10">
      <c r="A10" s="41" t="inlineStr">
        <is>
          <t>Total pp à date</t>
        </is>
      </c>
      <c r="B10" s="42" t="n">
        <v>4086120</v>
      </c>
    </row>
    <row r="11">
      <c r="A11" s="41" t="inlineStr">
        <is>
          <t>Taux de radiation global</t>
        </is>
      </c>
      <c r="B11" s="43" t="n">
        <v>0.003634943149606184</v>
      </c>
    </row>
    <row r="12"/>
    <row r="13">
      <c r="A13" s="40" t="inlineStr">
        <is>
          <t>Qualité des données — Déphasages AI / KPEP (KPI 8)</t>
        </is>
      </c>
    </row>
    <row r="14">
      <c r="A14" s="44" t="inlineStr">
        <is>
          <t>Indicateur</t>
        </is>
      </c>
      <c r="B14" s="44" t="inlineStr">
        <is>
          <t>Nb déphasages</t>
        </is>
      </c>
      <c r="C14" s="44" t="inlineStr">
        <is>
          <t>% portefeuille ASSURE</t>
        </is>
      </c>
    </row>
    <row r="15">
      <c r="A15" s="41" t="inlineStr">
        <is>
          <t>Email</t>
        </is>
      </c>
      <c r="B15" s="45" t="n">
        <v>20386</v>
      </c>
      <c r="C15" s="46" t="n">
        <v>0.006363035092204081</v>
      </c>
    </row>
    <row r="16">
      <c r="A16" s="41" t="inlineStr">
        <is>
          <t>Téléphone PORT</t>
        </is>
      </c>
      <c r="B16" s="45" t="n">
        <v>70995</v>
      </c>
      <c r="C16" s="46" t="n">
        <v>0.0221595053650068</v>
      </c>
    </row>
    <row r="17">
      <c r="A17" s="41" t="inlineStr">
        <is>
          <t>Téléphone TELP</t>
        </is>
      </c>
      <c r="B17" s="45" t="n">
        <v>5200</v>
      </c>
      <c r="C17" s="46" t="n">
        <v>0.001623063988985638</v>
      </c>
    </row>
    <row r="18">
      <c r="A18" s="47" t="inlineStr">
        <is>
          <t xml:space="preserve">  ↳ Total téléphone</t>
        </is>
      </c>
      <c r="B18" s="48" t="n">
        <v>76195</v>
      </c>
      <c r="C18" s="49" t="n">
        <v>0.02378256935399244</v>
      </c>
    </row>
    <row r="19">
      <c r="A19" s="41" t="inlineStr">
        <is>
          <t>Date de naissance</t>
        </is>
      </c>
      <c r="B19" s="45" t="n">
        <v>459</v>
      </c>
      <c r="C19" s="46" t="n">
        <v>0.0001432666097970015</v>
      </c>
    </row>
    <row r="20">
      <c r="A20" s="41" t="inlineStr">
        <is>
          <t>Date de décès</t>
        </is>
      </c>
      <c r="B20" s="45" t="n">
        <v>3754</v>
      </c>
      <c r="C20" s="46" t="n">
        <v>0.001171727348971555</v>
      </c>
    </row>
    <row r="21">
      <c r="A21" s="41" t="inlineStr">
        <is>
          <t>Adresses</t>
        </is>
      </c>
      <c r="B21" s="45" t="n">
        <v>83598</v>
      </c>
      <c r="C21" s="46" t="n">
        <v>0.02609325064446565</v>
      </c>
    </row>
    <row r="22"/>
    <row r="23">
      <c r="A23" s="40" t="inlineStr">
        <is>
          <t>Résiliations</t>
        </is>
      </c>
    </row>
    <row r="24">
      <c r="A24" s="41" t="inlineStr">
        <is>
          <t>Total résiliations</t>
        </is>
      </c>
      <c r="B24" s="42" t="n">
        <v>402283</v>
      </c>
    </row>
    <row r="25">
      <c r="A25" s="41" t="inlineStr">
        <is>
          <t>Motif dominant</t>
        </is>
      </c>
      <c r="B25" s="50" t="inlineStr">
        <is>
          <t>ANNUL</t>
        </is>
      </c>
    </row>
    <row r="26">
      <c r="A26" s="41" t="inlineStr">
        <is>
          <t>Part du motif dominant</t>
        </is>
      </c>
      <c r="B26" s="43" t="n">
        <v>0.6324328892844092</v>
      </c>
    </row>
    <row r="27"/>
    <row r="28">
      <c r="A28" s="40" t="inlineStr">
        <is>
          <t>Top 3 offres ASSURE (pp non radiés)</t>
        </is>
      </c>
    </row>
    <row r="29">
      <c r="A29" s="41" t="inlineStr">
        <is>
          <t>MESMEN001</t>
        </is>
      </c>
      <c r="B29" s="42" t="n">
        <v>1213928</v>
      </c>
    </row>
    <row r="30">
      <c r="A30" s="41" t="inlineStr">
        <is>
          <t>INMMSPRET1</t>
        </is>
      </c>
      <c r="B30" s="42" t="n">
        <v>785885</v>
      </c>
    </row>
    <row r="31">
      <c r="A31" s="41" t="inlineStr">
        <is>
          <t>INPPREVIND</t>
        </is>
      </c>
      <c r="B31" s="42" t="n">
        <v>691892</v>
      </c>
    </row>
    <row r="32"/>
    <row r="33">
      <c r="A33" s="40" t="inlineStr">
        <is>
          <t>Fidélité par tranche d'âge</t>
        </is>
      </c>
    </row>
    <row r="34">
      <c r="A34" s="41" t="inlineStr">
        <is>
          <t>Tranche la plus fidèle</t>
        </is>
      </c>
      <c r="B34" s="50" t="inlineStr">
        <is>
          <t>Plus de 80 ans</t>
        </is>
      </c>
    </row>
    <row r="35">
      <c r="A35" s="41" t="inlineStr">
        <is>
          <t>Taux radiation</t>
        </is>
      </c>
      <c r="B35" s="43" t="n">
        <v>0.0002279454624199341</v>
      </c>
    </row>
    <row r="36"/>
    <row r="37">
      <c r="A37" s="40" t="inlineStr">
        <is>
          <t>Par type assuré</t>
        </is>
      </c>
    </row>
    <row r="38">
      <c r="A38" s="44" t="inlineStr">
        <is>
          <t>Type assuré</t>
        </is>
      </c>
      <c r="B38" s="44" t="inlineStr">
        <is>
          <t>pp non radiés</t>
        </is>
      </c>
      <c r="C38" s="44" t="inlineStr">
        <is>
          <t>% total</t>
        </is>
      </c>
      <c r="D38" s="44" t="inlineStr">
        <is>
          <t>Taux radiation</t>
        </is>
      </c>
    </row>
    <row r="39">
      <c r="A39" s="51" t="inlineStr">
        <is>
          <t>ASSURE</t>
        </is>
      </c>
      <c r="B39" s="45" t="n">
        <v>3203817</v>
      </c>
      <c r="C39" s="52" t="n">
        <v>0.7812230936299615</v>
      </c>
      <c r="D39" s="52" t="n">
        <v>0.002950855183051966</v>
      </c>
    </row>
    <row r="40">
      <c r="A40" s="51" t="inlineStr">
        <is>
          <t>ENFANT</t>
        </is>
      </c>
      <c r="B40" s="45" t="n">
        <v>685155</v>
      </c>
      <c r="C40" s="52" t="n">
        <v>0.1670691268309133</v>
      </c>
      <c r="D40" s="52" t="n">
        <v>0.006480285482846947</v>
      </c>
    </row>
    <row r="41">
      <c r="A41" s="51" t="inlineStr">
        <is>
          <t>CONJOI</t>
        </is>
      </c>
      <c r="B41" s="45" t="n">
        <v>212038</v>
      </c>
      <c r="C41" s="52" t="n">
        <v>0.05170363423600966</v>
      </c>
      <c r="D41" s="52" t="n">
        <v>0.004777445552212339</v>
      </c>
    </row>
    <row r="42">
      <c r="A42" s="51" t="inlineStr">
        <is>
          <t>ASCEND</t>
        </is>
      </c>
      <c r="B42" s="45" t="n">
        <v>17</v>
      </c>
      <c r="C42" s="52" t="n">
        <v>4.145303115536669e-06</v>
      </c>
      <c r="D42" s="52" t="n">
        <v>0</v>
      </c>
    </row>
    <row r="43"/>
    <row r="44">
      <c r="A44" s="40" t="inlineStr">
        <is>
          <t>Par société</t>
        </is>
      </c>
    </row>
    <row r="45">
      <c r="A45" s="44" t="inlineStr">
        <is>
          <t>Société</t>
        </is>
      </c>
      <c r="B45" s="44" t="inlineStr">
        <is>
          <t>pp non radiés</t>
        </is>
      </c>
      <c r="C45" s="44" t="inlineStr">
        <is>
          <t>% total</t>
        </is>
      </c>
      <c r="D45" s="44" t="inlineStr">
        <is>
          <t>Taux radiation</t>
        </is>
      </c>
    </row>
    <row r="46">
      <c r="A46" s="51" t="inlineStr">
        <is>
          <t>010</t>
        </is>
      </c>
      <c r="B46" s="45" t="n">
        <v>4061007</v>
      </c>
      <c r="C46" s="52" t="n">
        <v>0.9902414687833072</v>
      </c>
      <c r="D46" s="52" t="n">
        <v>0.003288100709996314</v>
      </c>
    </row>
    <row r="47">
      <c r="A47" s="51" t="inlineStr">
        <is>
          <t>044</t>
        </is>
      </c>
      <c r="B47" s="45" t="n">
        <v>30575</v>
      </c>
      <c r="C47" s="52" t="n">
        <v>0.007455449573972569</v>
      </c>
      <c r="D47" s="52" t="n">
        <v>0.04994276369582993</v>
      </c>
    </row>
    <row r="48">
      <c r="A48" s="51" t="inlineStr">
        <is>
          <t>052</t>
        </is>
      </c>
      <c r="B48" s="45" t="n">
        <v>8631</v>
      </c>
      <c r="C48" s="52" t="n">
        <v>0.002104594775893941</v>
      </c>
      <c r="D48" s="52" t="n">
        <v>0.0016220600162206</v>
      </c>
    </row>
    <row r="49">
      <c r="A49" s="51" t="inlineStr">
        <is>
          <t>073</t>
        </is>
      </c>
      <c r="B49" s="45" t="n">
        <v>814</v>
      </c>
      <c r="C49" s="52" t="n">
        <v>0.0001984868668262852</v>
      </c>
      <c r="D49" s="52" t="n">
        <v>0.01597051597051597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36" min="1" max="1"/>
    <col width="21" customWidth="1" style="36" min="2" max="2"/>
    <col width="26" customWidth="1" style="36" min="3" max="3"/>
  </cols>
  <sheetData>
    <row r="1">
      <c r="A1" s="44" t="inlineStr">
        <is>
          <t>Société</t>
        </is>
      </c>
      <c r="B1" s="44" t="inlineStr">
        <is>
          <t>motif resiliation</t>
        </is>
      </c>
      <c r="C1" s="44" t="inlineStr">
        <is>
          <t>nombre de résiliations</t>
        </is>
      </c>
    </row>
    <row r="2">
      <c r="A2" s="51" t="inlineStr">
        <is>
          <t>010</t>
        </is>
      </c>
      <c r="B2" s="53" t="inlineStr">
        <is>
          <t>AGE</t>
        </is>
      </c>
      <c r="C2" s="45" t="n">
        <v>15</v>
      </c>
    </row>
    <row r="3">
      <c r="A3" s="51" t="inlineStr">
        <is>
          <t>000</t>
        </is>
      </c>
      <c r="B3" s="53" t="inlineStr">
        <is>
          <t>ANNUL</t>
        </is>
      </c>
      <c r="C3" s="45" t="n">
        <v>4345</v>
      </c>
    </row>
    <row r="4">
      <c r="A4" s="51" t="inlineStr">
        <is>
          <t>044</t>
        </is>
      </c>
      <c r="B4" s="53" t="inlineStr">
        <is>
          <t>ANNUL</t>
        </is>
      </c>
      <c r="C4" s="45" t="n">
        <v>253</v>
      </c>
    </row>
    <row r="5">
      <c r="A5" s="51" t="inlineStr">
        <is>
          <t>073</t>
        </is>
      </c>
      <c r="B5" s="53" t="inlineStr">
        <is>
          <t>ANNUL</t>
        </is>
      </c>
      <c r="C5" s="45" t="n">
        <v>26</v>
      </c>
    </row>
    <row r="6">
      <c r="A6" s="51" t="inlineStr">
        <is>
          <t>052</t>
        </is>
      </c>
      <c r="B6" s="53" t="inlineStr">
        <is>
          <t>ANNUL</t>
        </is>
      </c>
      <c r="C6" s="45" t="n">
        <v>20</v>
      </c>
    </row>
    <row r="7">
      <c r="A7" s="51" t="inlineStr">
        <is>
          <t>010</t>
        </is>
      </c>
      <c r="B7" s="53" t="inlineStr">
        <is>
          <t>ANNUL</t>
        </is>
      </c>
      <c r="C7" s="45" t="n">
        <v>249773</v>
      </c>
    </row>
    <row r="8">
      <c r="A8" s="51" t="inlineStr">
        <is>
          <t>010</t>
        </is>
      </c>
      <c r="B8" s="53" t="inlineStr">
        <is>
          <t>ARMEE</t>
        </is>
      </c>
      <c r="C8" s="45" t="n">
        <v>11</v>
      </c>
    </row>
    <row r="9">
      <c r="A9" s="51" t="inlineStr">
        <is>
          <t>000</t>
        </is>
      </c>
      <c r="B9" s="53" t="inlineStr">
        <is>
          <t>ARMEE</t>
        </is>
      </c>
      <c r="C9" s="45" t="n">
        <v>1</v>
      </c>
    </row>
    <row r="10">
      <c r="A10" s="51" t="inlineStr">
        <is>
          <t>010</t>
        </is>
      </c>
      <c r="B10" s="53" t="inlineStr">
        <is>
          <t>CCULT</t>
        </is>
      </c>
      <c r="C10" s="45" t="n">
        <v>101</v>
      </c>
    </row>
    <row r="11">
      <c r="A11" s="51" t="inlineStr">
        <is>
          <t>010</t>
        </is>
      </c>
      <c r="B11" s="53" t="inlineStr">
        <is>
          <t>CJUAD</t>
        </is>
      </c>
      <c r="C11" s="45" t="n">
        <v>8</v>
      </c>
    </row>
    <row r="12">
      <c r="A12" s="51" t="inlineStr">
        <is>
          <t>044</t>
        </is>
      </c>
      <c r="B12" s="53" t="inlineStr">
        <is>
          <t>CJUAD</t>
        </is>
      </c>
      <c r="C12" s="45" t="n">
        <v>2</v>
      </c>
    </row>
    <row r="13">
      <c r="A13" s="51" t="inlineStr">
        <is>
          <t>010</t>
        </is>
      </c>
      <c r="B13" s="53" t="inlineStr">
        <is>
          <t>CMEAE</t>
        </is>
      </c>
      <c r="C13" s="45" t="n">
        <v>6</v>
      </c>
    </row>
    <row r="14">
      <c r="A14" s="51" t="inlineStr">
        <is>
          <t>044</t>
        </is>
      </c>
      <c r="B14" s="53" t="inlineStr">
        <is>
          <t>CMEAE</t>
        </is>
      </c>
      <c r="C14" s="45" t="n">
        <v>6</v>
      </c>
    </row>
    <row r="15">
      <c r="A15" s="51" t="inlineStr">
        <is>
          <t>000</t>
        </is>
      </c>
      <c r="B15" s="53" t="inlineStr">
        <is>
          <t>CMEN</t>
        </is>
      </c>
      <c r="C15" s="45" t="n">
        <v>55</v>
      </c>
    </row>
    <row r="16">
      <c r="A16" s="51" t="inlineStr">
        <is>
          <t>010</t>
        </is>
      </c>
      <c r="B16" s="53" t="inlineStr">
        <is>
          <t>CMEN</t>
        </is>
      </c>
      <c r="C16" s="45" t="n">
        <v>5609</v>
      </c>
    </row>
    <row r="17">
      <c r="A17" s="51" t="inlineStr">
        <is>
          <t>044</t>
        </is>
      </c>
      <c r="B17" s="53" t="inlineStr">
        <is>
          <t>CMEN</t>
        </is>
      </c>
      <c r="C17" s="45" t="n">
        <v>7</v>
      </c>
    </row>
    <row r="18">
      <c r="A18" s="51" t="inlineStr">
        <is>
          <t>010</t>
        </is>
      </c>
      <c r="B18" s="53" t="inlineStr">
        <is>
          <t>CMGAS</t>
        </is>
      </c>
      <c r="C18" s="45" t="n">
        <v>3</v>
      </c>
    </row>
    <row r="19">
      <c r="A19" s="51" t="inlineStr">
        <is>
          <t>052</t>
        </is>
      </c>
      <c r="B19" s="53" t="inlineStr">
        <is>
          <t>COLLO</t>
        </is>
      </c>
      <c r="C19" s="45" t="n">
        <v>26</v>
      </c>
    </row>
    <row r="20">
      <c r="A20" s="51" t="inlineStr">
        <is>
          <t>010</t>
        </is>
      </c>
      <c r="B20" s="53" t="inlineStr">
        <is>
          <t>COLLO</t>
        </is>
      </c>
      <c r="C20" s="45" t="n">
        <v>1644</v>
      </c>
    </row>
    <row r="21">
      <c r="A21" s="51" t="inlineStr">
        <is>
          <t>044</t>
        </is>
      </c>
      <c r="B21" s="53" t="inlineStr">
        <is>
          <t>COLLO</t>
        </is>
      </c>
      <c r="C21" s="45" t="n">
        <v>37</v>
      </c>
    </row>
    <row r="22">
      <c r="A22" s="51" t="inlineStr">
        <is>
          <t>000</t>
        </is>
      </c>
      <c r="B22" s="53" t="inlineStr">
        <is>
          <t>COLLO</t>
        </is>
      </c>
      <c r="C22" s="45" t="n">
        <v>19</v>
      </c>
    </row>
    <row r="23">
      <c r="A23" s="51" t="inlineStr">
        <is>
          <t>010</t>
        </is>
      </c>
      <c r="B23" s="53" t="inlineStr">
        <is>
          <t>CONC</t>
        </is>
      </c>
      <c r="C23" s="45" t="n">
        <v>5846</v>
      </c>
    </row>
    <row r="24">
      <c r="A24" s="51" t="inlineStr">
        <is>
          <t>052</t>
        </is>
      </c>
      <c r="B24" s="53" t="inlineStr">
        <is>
          <t>CONC</t>
        </is>
      </c>
      <c r="C24" s="45" t="n">
        <v>5</v>
      </c>
    </row>
    <row r="25">
      <c r="A25" s="51" t="inlineStr">
        <is>
          <t>044</t>
        </is>
      </c>
      <c r="B25" s="53" t="inlineStr">
        <is>
          <t>CONC</t>
        </is>
      </c>
      <c r="C25" s="45" t="n">
        <v>47</v>
      </c>
    </row>
    <row r="26">
      <c r="A26" s="51" t="inlineStr">
        <is>
          <t>000</t>
        </is>
      </c>
      <c r="B26" s="53" t="inlineStr">
        <is>
          <t>CONC</t>
        </is>
      </c>
      <c r="C26" s="45" t="n">
        <v>21</v>
      </c>
    </row>
    <row r="27">
      <c r="A27" s="51" t="inlineStr">
        <is>
          <t>044</t>
        </is>
      </c>
      <c r="B27" s="53" t="inlineStr">
        <is>
          <t>COT+</t>
        </is>
      </c>
      <c r="C27" s="45" t="n">
        <v>3</v>
      </c>
    </row>
    <row r="28">
      <c r="A28" s="51" t="inlineStr">
        <is>
          <t>010</t>
        </is>
      </c>
      <c r="B28" s="53" t="inlineStr">
        <is>
          <t>COT+</t>
        </is>
      </c>
      <c r="C28" s="45" t="n">
        <v>197</v>
      </c>
    </row>
    <row r="29">
      <c r="A29" s="51" t="inlineStr">
        <is>
          <t>000</t>
        </is>
      </c>
      <c r="B29" s="53" t="inlineStr">
        <is>
          <t>COT+</t>
        </is>
      </c>
      <c r="C29" s="45" t="n">
        <v>3</v>
      </c>
    </row>
    <row r="30">
      <c r="A30" s="51" t="inlineStr">
        <is>
          <t>052</t>
        </is>
      </c>
      <c r="B30" s="53" t="inlineStr">
        <is>
          <t>CSS</t>
        </is>
      </c>
      <c r="C30" s="45" t="n">
        <v>3</v>
      </c>
    </row>
    <row r="31">
      <c r="A31" s="51" t="inlineStr">
        <is>
          <t>000</t>
        </is>
      </c>
      <c r="B31" s="53" t="inlineStr">
        <is>
          <t>CSS</t>
        </is>
      </c>
      <c r="C31" s="45" t="n">
        <v>6</v>
      </c>
    </row>
    <row r="32">
      <c r="A32" s="51" t="inlineStr">
        <is>
          <t>044</t>
        </is>
      </c>
      <c r="B32" s="53" t="inlineStr">
        <is>
          <t>CSS</t>
        </is>
      </c>
      <c r="C32" s="45" t="n">
        <v>2</v>
      </c>
    </row>
    <row r="33">
      <c r="A33" s="51" t="inlineStr">
        <is>
          <t>010</t>
        </is>
      </c>
      <c r="B33" s="53" t="inlineStr">
        <is>
          <t>CSS</t>
        </is>
      </c>
      <c r="C33" s="45" t="n">
        <v>854</v>
      </c>
    </row>
    <row r="34">
      <c r="A34" s="51" t="inlineStr">
        <is>
          <t>073</t>
        </is>
      </c>
      <c r="B34" s="53" t="inlineStr">
        <is>
          <t>DECES</t>
        </is>
      </c>
      <c r="C34" s="45" t="n">
        <v>1</v>
      </c>
    </row>
    <row r="35">
      <c r="A35" s="51" t="inlineStr">
        <is>
          <t>010</t>
        </is>
      </c>
      <c r="B35" s="53" t="inlineStr">
        <is>
          <t>DECES</t>
        </is>
      </c>
      <c r="C35" s="45" t="n">
        <v>13052</v>
      </c>
    </row>
    <row r="36">
      <c r="A36" s="51" t="inlineStr">
        <is>
          <t>000</t>
        </is>
      </c>
      <c r="B36" s="53" t="inlineStr">
        <is>
          <t>DECES</t>
        </is>
      </c>
      <c r="C36" s="45" t="n">
        <v>33</v>
      </c>
    </row>
    <row r="37">
      <c r="A37" s="51" t="inlineStr">
        <is>
          <t>052</t>
        </is>
      </c>
      <c r="B37" s="53" t="inlineStr">
        <is>
          <t>DECES</t>
        </is>
      </c>
      <c r="C37" s="45" t="n">
        <v>5</v>
      </c>
    </row>
    <row r="38">
      <c r="A38" s="51" t="inlineStr">
        <is>
          <t>044</t>
        </is>
      </c>
      <c r="B38" s="53" t="inlineStr">
        <is>
          <t>DECES</t>
        </is>
      </c>
      <c r="C38" s="45" t="n">
        <v>100</v>
      </c>
    </row>
    <row r="39">
      <c r="A39" s="51" t="inlineStr">
        <is>
          <t>073</t>
        </is>
      </c>
      <c r="B39" s="53" t="inlineStr">
        <is>
          <t>DEM</t>
        </is>
      </c>
      <c r="C39" s="45" t="n">
        <v>1</v>
      </c>
    </row>
    <row r="40">
      <c r="A40" s="51" t="inlineStr">
        <is>
          <t>010</t>
        </is>
      </c>
      <c r="B40" s="53" t="inlineStr">
        <is>
          <t>DEM</t>
        </is>
      </c>
      <c r="C40" s="45" t="n">
        <v>6529</v>
      </c>
    </row>
    <row r="41">
      <c r="A41" s="51" t="inlineStr">
        <is>
          <t>000</t>
        </is>
      </c>
      <c r="B41" s="53" t="inlineStr">
        <is>
          <t>DEM</t>
        </is>
      </c>
      <c r="C41" s="45" t="n">
        <v>35</v>
      </c>
    </row>
    <row r="42">
      <c r="A42" s="51" t="inlineStr">
        <is>
          <t>044</t>
        </is>
      </c>
      <c r="B42" s="53" t="inlineStr">
        <is>
          <t>DEM</t>
        </is>
      </c>
      <c r="C42" s="45" t="n">
        <v>161</v>
      </c>
    </row>
    <row r="43">
      <c r="A43" s="51" t="inlineStr">
        <is>
          <t>052</t>
        </is>
      </c>
      <c r="B43" s="53" t="inlineStr">
        <is>
          <t>DEM</t>
        </is>
      </c>
      <c r="C43" s="45" t="n">
        <v>112</v>
      </c>
    </row>
    <row r="44">
      <c r="A44" s="51" t="inlineStr">
        <is>
          <t>044</t>
        </is>
      </c>
      <c r="B44" s="53" t="inlineStr">
        <is>
          <t>DEMUT</t>
        </is>
      </c>
      <c r="C44" s="45" t="n">
        <v>143</v>
      </c>
    </row>
    <row r="45">
      <c r="A45" s="51" t="inlineStr">
        <is>
          <t>010</t>
        </is>
      </c>
      <c r="B45" s="53" t="inlineStr">
        <is>
          <t>DEMUT</t>
        </is>
      </c>
      <c r="C45" s="45" t="n">
        <v>19</v>
      </c>
    </row>
    <row r="46">
      <c r="A46" s="51" t="inlineStr">
        <is>
          <t>052</t>
        </is>
      </c>
      <c r="B46" s="53" t="inlineStr">
        <is>
          <t>DENT</t>
        </is>
      </c>
      <c r="C46" s="45" t="n">
        <v>288</v>
      </c>
    </row>
    <row r="47">
      <c r="A47" s="51" t="inlineStr">
        <is>
          <t>044</t>
        </is>
      </c>
      <c r="B47" s="53" t="inlineStr">
        <is>
          <t>DENT</t>
        </is>
      </c>
      <c r="C47" s="45" t="n">
        <v>238</v>
      </c>
    </row>
    <row r="48">
      <c r="A48" s="51" t="inlineStr">
        <is>
          <t>010</t>
        </is>
      </c>
      <c r="B48" s="53" t="inlineStr">
        <is>
          <t>DENT</t>
        </is>
      </c>
      <c r="C48" s="45" t="n">
        <v>28081</v>
      </c>
    </row>
    <row r="49">
      <c r="A49" s="51" t="inlineStr">
        <is>
          <t>073</t>
        </is>
      </c>
      <c r="B49" s="53" t="inlineStr">
        <is>
          <t>DENT</t>
        </is>
      </c>
      <c r="C49" s="45" t="n">
        <v>2</v>
      </c>
    </row>
    <row r="50">
      <c r="A50" s="51" t="inlineStr">
        <is>
          <t>000</t>
        </is>
      </c>
      <c r="B50" s="53" t="inlineStr">
        <is>
          <t>DENT</t>
        </is>
      </c>
      <c r="C50" s="45" t="n">
        <v>132</v>
      </c>
    </row>
    <row r="51">
      <c r="A51" s="51" t="inlineStr">
        <is>
          <t>044</t>
        </is>
      </c>
      <c r="B51" s="53" t="inlineStr">
        <is>
          <t>DETRA</t>
        </is>
      </c>
      <c r="C51" s="45" t="n">
        <v>11</v>
      </c>
    </row>
    <row r="52">
      <c r="A52" s="51" t="inlineStr">
        <is>
          <t>010</t>
        </is>
      </c>
      <c r="B52" s="53" t="inlineStr">
        <is>
          <t>DETRA</t>
        </is>
      </c>
      <c r="C52" s="45" t="n">
        <v>264</v>
      </c>
    </row>
    <row r="53">
      <c r="A53" s="51" t="inlineStr">
        <is>
          <t>000</t>
        </is>
      </c>
      <c r="B53" s="53" t="inlineStr">
        <is>
          <t>DETRA</t>
        </is>
      </c>
      <c r="C53" s="45" t="n">
        <v>3</v>
      </c>
    </row>
    <row r="54">
      <c r="A54" s="51" t="inlineStr">
        <is>
          <t>044</t>
        </is>
      </c>
      <c r="B54" s="53" t="inlineStr">
        <is>
          <t>DISP</t>
        </is>
      </c>
      <c r="C54" s="45" t="n">
        <v>188</v>
      </c>
    </row>
    <row r="55">
      <c r="A55" s="51" t="inlineStr">
        <is>
          <t>052</t>
        </is>
      </c>
      <c r="B55" s="53" t="inlineStr">
        <is>
          <t>DISP</t>
        </is>
      </c>
      <c r="C55" s="45" t="n">
        <v>4</v>
      </c>
    </row>
    <row r="56">
      <c r="A56" s="51" t="inlineStr">
        <is>
          <t>000</t>
        </is>
      </c>
      <c r="B56" s="53" t="inlineStr">
        <is>
          <t>DISP</t>
        </is>
      </c>
      <c r="C56" s="45" t="n">
        <v>452</v>
      </c>
    </row>
    <row r="57">
      <c r="A57" s="51" t="inlineStr">
        <is>
          <t>010</t>
        </is>
      </c>
      <c r="B57" s="53" t="inlineStr">
        <is>
          <t>DISP</t>
        </is>
      </c>
      <c r="C57" s="45" t="n">
        <v>58511</v>
      </c>
    </row>
    <row r="58">
      <c r="A58" s="51" t="inlineStr">
        <is>
          <t>010</t>
        </is>
      </c>
      <c r="B58" s="53" t="inlineStr">
        <is>
          <t>DIVOR</t>
        </is>
      </c>
      <c r="C58" s="45" t="n">
        <v>1</v>
      </c>
    </row>
    <row r="59">
      <c r="A59" s="51" t="inlineStr">
        <is>
          <t>044</t>
        </is>
      </c>
      <c r="B59" s="53" t="inlineStr">
        <is>
          <t>DOUBL</t>
        </is>
      </c>
      <c r="C59" s="45" t="n">
        <v>14</v>
      </c>
    </row>
    <row r="60">
      <c r="A60" s="51" t="inlineStr">
        <is>
          <t>000</t>
        </is>
      </c>
      <c r="B60" s="53" t="inlineStr">
        <is>
          <t>DOUBL</t>
        </is>
      </c>
      <c r="C60" s="45" t="n">
        <v>5</v>
      </c>
    </row>
    <row r="61">
      <c r="A61" s="51" t="inlineStr">
        <is>
          <t>052</t>
        </is>
      </c>
      <c r="B61" s="53" t="inlineStr">
        <is>
          <t>DOUBL</t>
        </is>
      </c>
      <c r="C61" s="45" t="n">
        <v>1</v>
      </c>
    </row>
    <row r="62">
      <c r="A62" s="51" t="inlineStr">
        <is>
          <t>073</t>
        </is>
      </c>
      <c r="B62" s="53" t="inlineStr">
        <is>
          <t>DOUBL</t>
        </is>
      </c>
      <c r="C62" s="45" t="n">
        <v>1</v>
      </c>
    </row>
    <row r="63">
      <c r="A63" s="51" t="inlineStr">
        <is>
          <t>010</t>
        </is>
      </c>
      <c r="B63" s="53" t="inlineStr">
        <is>
          <t>DOUBL</t>
        </is>
      </c>
      <c r="C63" s="45" t="n">
        <v>9578</v>
      </c>
    </row>
    <row r="64">
      <c r="A64" s="51" t="inlineStr">
        <is>
          <t>044</t>
        </is>
      </c>
      <c r="B64" s="53" t="inlineStr">
        <is>
          <t>DRET</t>
        </is>
      </c>
      <c r="C64" s="45" t="n">
        <v>62</v>
      </c>
    </row>
    <row r="65">
      <c r="A65" s="51" t="inlineStr">
        <is>
          <t>000</t>
        </is>
      </c>
      <c r="B65" s="53" t="inlineStr">
        <is>
          <t>DRET</t>
        </is>
      </c>
      <c r="C65" s="45" t="n">
        <v>66</v>
      </c>
    </row>
    <row r="66">
      <c r="A66" s="51" t="inlineStr">
        <is>
          <t>052</t>
        </is>
      </c>
      <c r="B66" s="53" t="inlineStr">
        <is>
          <t>DRET</t>
        </is>
      </c>
      <c r="C66" s="45" t="n">
        <v>41</v>
      </c>
    </row>
    <row r="67">
      <c r="A67" s="51" t="inlineStr">
        <is>
          <t>010</t>
        </is>
      </c>
      <c r="B67" s="53" t="inlineStr">
        <is>
          <t>DRET</t>
        </is>
      </c>
      <c r="C67" s="45" t="n">
        <v>4581</v>
      </c>
    </row>
    <row r="68">
      <c r="A68" s="51" t="inlineStr">
        <is>
          <t>073</t>
        </is>
      </c>
      <c r="B68" s="53" t="inlineStr">
        <is>
          <t>DRET</t>
        </is>
      </c>
      <c r="C68" s="45" t="n">
        <v>2</v>
      </c>
    </row>
    <row r="69">
      <c r="A69" s="51" t="inlineStr">
        <is>
          <t>044</t>
        </is>
      </c>
      <c r="B69" s="53" t="inlineStr">
        <is>
          <t>ECSUS</t>
        </is>
      </c>
      <c r="C69" s="45" t="n">
        <v>3</v>
      </c>
    </row>
    <row r="70">
      <c r="A70" s="51" t="inlineStr">
        <is>
          <t>010</t>
        </is>
      </c>
      <c r="B70" s="53" t="inlineStr">
        <is>
          <t>ECSUS</t>
        </is>
      </c>
      <c r="C70" s="45" t="n">
        <v>97</v>
      </c>
    </row>
    <row r="71">
      <c r="A71" s="51" t="inlineStr">
        <is>
          <t>000</t>
        </is>
      </c>
      <c r="B71" s="53" t="inlineStr">
        <is>
          <t>ECSUS</t>
        </is>
      </c>
      <c r="C71" s="45" t="n">
        <v>2</v>
      </c>
    </row>
    <row r="72">
      <c r="A72" s="51" t="inlineStr">
        <is>
          <t>044</t>
        </is>
      </c>
      <c r="B72" s="53" t="inlineStr">
        <is>
          <t>ERREU</t>
        </is>
      </c>
      <c r="C72" s="45" t="n">
        <v>1</v>
      </c>
    </row>
    <row r="73">
      <c r="A73" s="51" t="inlineStr">
        <is>
          <t>000</t>
        </is>
      </c>
      <c r="B73" s="53" t="inlineStr">
        <is>
          <t>ERREU</t>
        </is>
      </c>
      <c r="C73" s="45" t="n">
        <v>24</v>
      </c>
    </row>
    <row r="74">
      <c r="A74" s="51" t="inlineStr">
        <is>
          <t>010</t>
        </is>
      </c>
      <c r="B74" s="53" t="inlineStr">
        <is>
          <t>ERREU</t>
        </is>
      </c>
      <c r="C74" s="45" t="n">
        <v>88</v>
      </c>
    </row>
    <row r="75">
      <c r="A75" s="51" t="inlineStr">
        <is>
          <t>000</t>
        </is>
      </c>
      <c r="B75" s="53" t="inlineStr">
        <is>
          <t>FC2S</t>
        </is>
      </c>
      <c r="C75" s="45" t="n">
        <v>17</v>
      </c>
    </row>
    <row r="76">
      <c r="A76" s="51" t="inlineStr">
        <is>
          <t>010</t>
        </is>
      </c>
      <c r="B76" s="53" t="inlineStr">
        <is>
          <t>FC2S</t>
        </is>
      </c>
      <c r="C76" s="45" t="n">
        <v>56790</v>
      </c>
    </row>
    <row r="77">
      <c r="A77" s="51" t="inlineStr">
        <is>
          <t>000</t>
        </is>
      </c>
      <c r="B77" s="53" t="inlineStr">
        <is>
          <t>FC2SG</t>
        </is>
      </c>
      <c r="C77" s="45" t="n">
        <v>52</v>
      </c>
    </row>
    <row r="78">
      <c r="A78" s="51" t="inlineStr">
        <is>
          <t>010</t>
        </is>
      </c>
      <c r="B78" s="53" t="inlineStr">
        <is>
          <t>FC2SG</t>
        </is>
      </c>
      <c r="C78" s="45" t="n">
        <v>1790</v>
      </c>
    </row>
    <row r="79">
      <c r="A79" s="51" t="inlineStr">
        <is>
          <t>010</t>
        </is>
      </c>
      <c r="B79" s="53" t="inlineStr">
        <is>
          <t>FC2SP</t>
        </is>
      </c>
      <c r="C79" s="45" t="n">
        <v>1417</v>
      </c>
    </row>
    <row r="80">
      <c r="A80" s="51" t="inlineStr">
        <is>
          <t>000</t>
        </is>
      </c>
      <c r="B80" s="53" t="inlineStr">
        <is>
          <t>FC2SP</t>
        </is>
      </c>
      <c r="C80" s="45" t="n">
        <v>50</v>
      </c>
    </row>
    <row r="81">
      <c r="A81" s="51" t="inlineStr">
        <is>
          <t>010</t>
        </is>
      </c>
      <c r="B81" s="53" t="inlineStr">
        <is>
          <t>FDCSS</t>
        </is>
      </c>
      <c r="C81" s="45" t="n">
        <v>2</v>
      </c>
    </row>
    <row r="82">
      <c r="A82" s="51" t="inlineStr">
        <is>
          <t>010</t>
        </is>
      </c>
      <c r="B82" s="53" t="inlineStr">
        <is>
          <t>FMGAR</t>
        </is>
      </c>
      <c r="C82" s="45" t="n">
        <v>21</v>
      </c>
    </row>
    <row r="83">
      <c r="A83" s="51" t="inlineStr">
        <is>
          <t>000</t>
        </is>
      </c>
      <c r="B83" s="53" t="inlineStr">
        <is>
          <t>FMGAR</t>
        </is>
      </c>
      <c r="C83" s="45" t="n">
        <v>3</v>
      </c>
    </row>
    <row r="84">
      <c r="A84" s="51" t="inlineStr">
        <is>
          <t>052</t>
        </is>
      </c>
      <c r="B84" s="53" t="inlineStr">
        <is>
          <t>FMGAR</t>
        </is>
      </c>
      <c r="C84" s="45" t="n">
        <v>19</v>
      </c>
    </row>
    <row r="85">
      <c r="A85" s="51" t="inlineStr">
        <is>
          <t>044</t>
        </is>
      </c>
      <c r="B85" s="53" t="inlineStr">
        <is>
          <t>FPORT</t>
        </is>
      </c>
      <c r="C85" s="45" t="n">
        <v>2</v>
      </c>
    </row>
    <row r="86">
      <c r="A86" s="51" t="inlineStr">
        <is>
          <t>010</t>
        </is>
      </c>
      <c r="B86" s="53" t="inlineStr">
        <is>
          <t>FPORT</t>
        </is>
      </c>
      <c r="C86" s="45" t="n">
        <v>327</v>
      </c>
    </row>
    <row r="87">
      <c r="A87" s="51" t="inlineStr">
        <is>
          <t>052</t>
        </is>
      </c>
      <c r="B87" s="53" t="inlineStr">
        <is>
          <t>FPORT</t>
        </is>
      </c>
      <c r="C87" s="45" t="n">
        <v>54</v>
      </c>
    </row>
    <row r="88">
      <c r="A88" s="51" t="inlineStr">
        <is>
          <t>010</t>
        </is>
      </c>
      <c r="B88" s="53" t="inlineStr">
        <is>
          <t>IMP</t>
        </is>
      </c>
      <c r="C88" s="45" t="n">
        <v>1559</v>
      </c>
    </row>
    <row r="89">
      <c r="A89" s="51" t="inlineStr">
        <is>
          <t>044</t>
        </is>
      </c>
      <c r="B89" s="53" t="inlineStr">
        <is>
          <t>IMP</t>
        </is>
      </c>
      <c r="C89" s="45" t="n">
        <v>24</v>
      </c>
    </row>
    <row r="90">
      <c r="A90" s="51" t="inlineStr">
        <is>
          <t>000</t>
        </is>
      </c>
      <c r="B90" s="53" t="inlineStr">
        <is>
          <t>OFFRE</t>
        </is>
      </c>
      <c r="C90" s="45" t="n">
        <v>82</v>
      </c>
    </row>
    <row r="91">
      <c r="A91" s="51" t="inlineStr">
        <is>
          <t>010</t>
        </is>
      </c>
      <c r="B91" s="53" t="inlineStr">
        <is>
          <t>OFFRE</t>
        </is>
      </c>
      <c r="C91" s="45" t="n">
        <v>716</v>
      </c>
    </row>
    <row r="92">
      <c r="A92" s="51" t="inlineStr">
        <is>
          <t>044</t>
        </is>
      </c>
      <c r="B92" s="53" t="inlineStr">
        <is>
          <t>OFFRE</t>
        </is>
      </c>
      <c r="C92" s="45" t="n">
        <v>4</v>
      </c>
    </row>
    <row r="93">
      <c r="A93" s="51" t="inlineStr">
        <is>
          <t>010</t>
        </is>
      </c>
      <c r="B93" s="53" t="inlineStr">
        <is>
          <t>PREST</t>
        </is>
      </c>
      <c r="C93" s="45" t="n">
        <v>30</v>
      </c>
    </row>
    <row r="94">
      <c r="A94" s="51" t="inlineStr">
        <is>
          <t>000</t>
        </is>
      </c>
      <c r="B94" s="53" t="inlineStr">
        <is>
          <t>PREST</t>
        </is>
      </c>
      <c r="C94" s="45" t="n">
        <v>1</v>
      </c>
    </row>
    <row r="95">
      <c r="A95" s="51" t="inlineStr">
        <is>
          <t>044</t>
        </is>
      </c>
      <c r="B95" s="53" t="inlineStr">
        <is>
          <t>PREST</t>
        </is>
      </c>
      <c r="C95" s="45" t="n">
        <v>1</v>
      </c>
    </row>
    <row r="96">
      <c r="A96" s="51" t="inlineStr">
        <is>
          <t>010</t>
        </is>
      </c>
      <c r="B96" s="53" t="inlineStr">
        <is>
          <t>RADIA</t>
        </is>
      </c>
      <c r="C96" s="45" t="n">
        <v>6</v>
      </c>
    </row>
    <row r="97">
      <c r="A97" s="51" t="inlineStr">
        <is>
          <t>052</t>
        </is>
      </c>
      <c r="B97" s="53" t="inlineStr">
        <is>
          <t>RADIA</t>
        </is>
      </c>
      <c r="C97" s="45" t="n">
        <v>6</v>
      </c>
    </row>
    <row r="98">
      <c r="A98" s="51" t="inlineStr">
        <is>
          <t>000</t>
        </is>
      </c>
      <c r="B98" s="53" t="inlineStr">
        <is>
          <t>RADIA</t>
        </is>
      </c>
      <c r="C98" s="45" t="n">
        <v>1</v>
      </c>
    </row>
    <row r="99">
      <c r="A99" s="51" t="inlineStr">
        <is>
          <t>000</t>
        </is>
      </c>
      <c r="B99" s="53" t="inlineStr">
        <is>
          <t>RENON</t>
        </is>
      </c>
      <c r="C99" s="45" t="n">
        <v>19</v>
      </c>
    </row>
    <row r="100">
      <c r="A100" s="51" t="inlineStr">
        <is>
          <t>010</t>
        </is>
      </c>
      <c r="B100" s="53" t="inlineStr">
        <is>
          <t>RENON</t>
        </is>
      </c>
      <c r="C100" s="45" t="n">
        <v>897</v>
      </c>
    </row>
    <row r="101">
      <c r="A101" s="51" t="inlineStr">
        <is>
          <t>052</t>
        </is>
      </c>
      <c r="B101" s="53" t="inlineStr">
        <is>
          <t>SUSP</t>
        </is>
      </c>
      <c r="C101" s="45" t="n">
        <v>18</v>
      </c>
    </row>
    <row r="102">
      <c r="A102" s="51" t="inlineStr">
        <is>
          <t>010</t>
        </is>
      </c>
      <c r="B102" s="53" t="inlineStr">
        <is>
          <t>SUSP</t>
        </is>
      </c>
      <c r="C102" s="45" t="n">
        <v>633</v>
      </c>
    </row>
    <row r="103">
      <c r="A103" s="51" t="inlineStr">
        <is>
          <t>044</t>
        </is>
      </c>
      <c r="B103" s="53" t="inlineStr">
        <is>
          <t>SUSP</t>
        </is>
      </c>
      <c r="C103" s="45" t="n">
        <v>21</v>
      </c>
    </row>
    <row r="104">
      <c r="A104" s="51" t="inlineStr">
        <is>
          <t>073</t>
        </is>
      </c>
      <c r="B104" s="53" t="inlineStr">
        <is>
          <t>SUSP</t>
        </is>
      </c>
      <c r="C104" s="45" t="n">
        <v>3</v>
      </c>
    </row>
    <row r="105">
      <c r="A105" s="51" t="inlineStr">
        <is>
          <t>000</t>
        </is>
      </c>
      <c r="B105" s="53" t="inlineStr">
        <is>
          <t>SUSP</t>
        </is>
      </c>
      <c r="C105" s="45" t="n">
        <v>6</v>
      </c>
    </row>
    <row r="106">
      <c r="A106" s="51" t="inlineStr">
        <is>
          <t>010</t>
        </is>
      </c>
      <c r="B106" s="53" t="inlineStr">
        <is>
          <t>TRANS</t>
        </is>
      </c>
      <c r="C106" s="45" t="n">
        <v>288</v>
      </c>
    </row>
    <row r="107">
      <c r="A107" s="51" t="inlineStr">
        <is>
          <t>044</t>
        </is>
      </c>
      <c r="B107" s="53" t="inlineStr">
        <is>
          <t>TRANS</t>
        </is>
      </c>
      <c r="C107" s="45" t="n">
        <v>7</v>
      </c>
    </row>
    <row r="108">
      <c r="A108" s="51" t="inlineStr">
        <is>
          <t>052</t>
        </is>
      </c>
      <c r="B108" s="53" t="inlineStr">
        <is>
          <t>TRANS</t>
        </is>
      </c>
      <c r="C108" s="45" t="n">
        <v>6</v>
      </c>
    </row>
    <row r="109">
      <c r="A109" s="51" t="inlineStr">
        <is>
          <t>010</t>
        </is>
      </c>
      <c r="B109" s="53" t="n">
        <v/>
      </c>
      <c r="C109" s="45" t="n">
        <v>6787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cols>
    <col width="24" customWidth="1" style="36" min="1" max="1"/>
    <col width="35" customWidth="1" style="36" min="2" max="2"/>
    <col width="26" customWidth="1" style="36" min="3" max="3"/>
  </cols>
  <sheetData>
    <row r="1">
      <c r="A1" s="54" t="inlineStr">
        <is>
          <t>Société</t>
        </is>
      </c>
      <c r="B1" s="54" t="inlineStr">
        <is>
          <t>000</t>
        </is>
      </c>
    </row>
    <row r="2"/>
    <row r="3">
      <c r="A3" s="44" t="inlineStr">
        <is>
          <t>Étiquettes de lignes</t>
        </is>
      </c>
      <c r="B3" s="44" t="inlineStr">
        <is>
          <t>Somme de nombre de résiliations</t>
        </is>
      </c>
      <c r="C3" s="44" t="inlineStr">
        <is>
          <t>% du total</t>
        </is>
      </c>
    </row>
    <row r="4">
      <c r="A4" s="51" t="inlineStr">
        <is>
          <t>ANNUL</t>
        </is>
      </c>
      <c r="B4" s="45" t="n">
        <v>4345</v>
      </c>
      <c r="C4" s="52" t="n">
        <v>0.824791192103265</v>
      </c>
    </row>
    <row r="5">
      <c r="A5" s="51" t="inlineStr">
        <is>
          <t>CMEN</t>
        </is>
      </c>
      <c r="B5" s="45" t="n">
        <v>55</v>
      </c>
      <c r="C5" s="52" t="n">
        <v>0.01044039483675019</v>
      </c>
    </row>
    <row r="6">
      <c r="A6" s="51" t="inlineStr">
        <is>
          <t>COLLO</t>
        </is>
      </c>
      <c r="B6" s="45" t="n">
        <v>19</v>
      </c>
      <c r="C6" s="52" t="n">
        <v>0.00360668185269552</v>
      </c>
    </row>
    <row r="7">
      <c r="A7" s="51" t="inlineStr">
        <is>
          <t>CONC</t>
        </is>
      </c>
      <c r="B7" s="45" t="n">
        <v>21</v>
      </c>
      <c r="C7" s="52" t="n">
        <v>0.003986332574031891</v>
      </c>
    </row>
    <row r="8">
      <c r="A8" s="51" t="inlineStr">
        <is>
          <t>COT+</t>
        </is>
      </c>
      <c r="B8" s="45" t="n">
        <v>3</v>
      </c>
      <c r="C8" s="52" t="n">
        <v>0.0005694760820045558</v>
      </c>
    </row>
    <row r="9">
      <c r="A9" s="51" t="inlineStr">
        <is>
          <t>CSS</t>
        </is>
      </c>
      <c r="B9" s="45" t="n">
        <v>6</v>
      </c>
      <c r="C9" s="52" t="n">
        <v>0.001138952164009112</v>
      </c>
    </row>
    <row r="10">
      <c r="A10" s="51" t="inlineStr">
        <is>
          <t>DECES</t>
        </is>
      </c>
      <c r="B10" s="45" t="n">
        <v>33</v>
      </c>
      <c r="C10" s="52" t="n">
        <v>0.006264236902050114</v>
      </c>
    </row>
    <row r="11">
      <c r="A11" s="51" t="inlineStr">
        <is>
          <t>DEM</t>
        </is>
      </c>
      <c r="B11" s="45" t="n">
        <v>35</v>
      </c>
      <c r="C11" s="52" t="n">
        <v>0.006643887623386484</v>
      </c>
    </row>
    <row r="12">
      <c r="A12" s="51" t="inlineStr">
        <is>
          <t>DENT</t>
        </is>
      </c>
      <c r="B12" s="45" t="n">
        <v>132</v>
      </c>
      <c r="C12" s="52" t="n">
        <v>0.02505694760820045</v>
      </c>
    </row>
    <row r="13">
      <c r="A13" s="51" t="inlineStr">
        <is>
          <t>DETRA</t>
        </is>
      </c>
      <c r="B13" s="45" t="n">
        <v>3</v>
      </c>
      <c r="C13" s="52" t="n">
        <v>0.0005694760820045558</v>
      </c>
    </row>
    <row r="14">
      <c r="A14" s="51" t="inlineStr">
        <is>
          <t>DISP</t>
        </is>
      </c>
      <c r="B14" s="45" t="n">
        <v>452</v>
      </c>
      <c r="C14" s="52" t="n">
        <v>0.08580106302201974</v>
      </c>
    </row>
    <row r="15">
      <c r="A15" s="51" t="inlineStr">
        <is>
          <t>DOUBL</t>
        </is>
      </c>
      <c r="B15" s="45" t="n">
        <v>5</v>
      </c>
      <c r="C15" s="52" t="n">
        <v>0.0009491268033409263</v>
      </c>
    </row>
    <row r="16">
      <c r="A16" s="51" t="inlineStr">
        <is>
          <t>DRET</t>
        </is>
      </c>
      <c r="B16" s="45" t="n">
        <v>66</v>
      </c>
      <c r="C16" s="52" t="n">
        <v>0.01252847380410023</v>
      </c>
    </row>
    <row r="17">
      <c r="A17" s="51" t="inlineStr">
        <is>
          <t>FMGAR</t>
        </is>
      </c>
      <c r="B17" s="45" t="n">
        <v>3</v>
      </c>
      <c r="C17" s="52" t="n">
        <v>0.0005694760820045558</v>
      </c>
    </row>
    <row r="18">
      <c r="A18" s="51" t="inlineStr">
        <is>
          <t>OFFRE</t>
        </is>
      </c>
      <c r="B18" s="45" t="n">
        <v>82</v>
      </c>
      <c r="C18" s="52" t="n">
        <v>0.01556567957479119</v>
      </c>
    </row>
    <row r="19">
      <c r="A19" s="51" t="inlineStr">
        <is>
          <t>PREST</t>
        </is>
      </c>
      <c r="B19" s="45" t="n">
        <v>1</v>
      </c>
      <c r="C19" s="52" t="n">
        <v>0.0001898253606681853</v>
      </c>
    </row>
    <row r="20">
      <c r="A20" s="51" t="inlineStr">
        <is>
          <t>RADIA</t>
        </is>
      </c>
      <c r="B20" s="45" t="n">
        <v>1</v>
      </c>
      <c r="C20" s="52" t="n">
        <v>0.0001898253606681853</v>
      </c>
    </row>
    <row r="21">
      <c r="A21" s="51" t="inlineStr">
        <is>
          <t>SUSP</t>
        </is>
      </c>
      <c r="B21" s="45" t="n">
        <v>6</v>
      </c>
      <c r="C21" s="52" t="n">
        <v>0.001138952164009112</v>
      </c>
    </row>
    <row r="22">
      <c r="A22" s="55" t="inlineStr">
        <is>
          <t>Total général</t>
        </is>
      </c>
      <c r="B22" s="56" t="n">
        <v>5268</v>
      </c>
      <c r="C22" s="57" t="n">
        <v>1</v>
      </c>
    </row>
    <row r="23"/>
    <row r="24">
      <c r="A24" s="54" t="inlineStr">
        <is>
          <t>Société</t>
        </is>
      </c>
      <c r="B24" s="54" t="inlineStr">
        <is>
          <t>010</t>
        </is>
      </c>
    </row>
    <row r="25"/>
    <row r="26">
      <c r="A26" s="44" t="inlineStr">
        <is>
          <t>Étiquettes de lignes</t>
        </is>
      </c>
      <c r="B26" s="44" t="inlineStr">
        <is>
          <t>Somme de nombre de résiliations</t>
        </is>
      </c>
      <c r="C26" s="44" t="inlineStr">
        <is>
          <t>% du total</t>
        </is>
      </c>
    </row>
    <row r="27">
      <c r="A27" s="51" t="inlineStr">
        <is>
          <t>AGE</t>
        </is>
      </c>
      <c r="B27" s="45" t="n">
        <v>15</v>
      </c>
      <c r="C27" s="52" t="n">
        <v>3.797103063502751e-05</v>
      </c>
    </row>
    <row r="28">
      <c r="A28" s="51" t="inlineStr">
        <is>
          <t>ANNUL</t>
        </is>
      </c>
      <c r="B28" s="45" t="n">
        <v>249773</v>
      </c>
      <c r="C28" s="52" t="n">
        <v>0.6322758823201818</v>
      </c>
    </row>
    <row r="29">
      <c r="A29" s="51" t="inlineStr">
        <is>
          <t>CCULT</t>
        </is>
      </c>
      <c r="B29" s="45" t="n">
        <v>101</v>
      </c>
      <c r="C29" s="52" t="n">
        <v>0.000255671606275852</v>
      </c>
    </row>
    <row r="30">
      <c r="A30" s="51" t="inlineStr">
        <is>
          <t>CJUAD</t>
        </is>
      </c>
      <c r="B30" s="45" t="n">
        <v>8</v>
      </c>
      <c r="C30" s="52" t="n">
        <v>2.025121633868134e-05</v>
      </c>
    </row>
    <row r="31">
      <c r="A31" s="51" t="inlineStr">
        <is>
          <t>CMEAE</t>
        </is>
      </c>
      <c r="B31" s="45" t="n">
        <v>6</v>
      </c>
      <c r="C31" s="52" t="n">
        <v>1.518841225401101e-05</v>
      </c>
    </row>
    <row r="32">
      <c r="A32" s="51" t="inlineStr">
        <is>
          <t>CMEN</t>
        </is>
      </c>
      <c r="B32" s="45" t="n">
        <v>5609</v>
      </c>
      <c r="C32" s="52" t="n">
        <v>0.01419863405545796</v>
      </c>
    </row>
    <row r="33">
      <c r="A33" s="51" t="inlineStr">
        <is>
          <t>CMGAS</t>
        </is>
      </c>
      <c r="B33" s="45" t="n">
        <v>3</v>
      </c>
      <c r="C33" s="52" t="n">
        <v>7.594206127005503e-06</v>
      </c>
    </row>
    <row r="34">
      <c r="A34" s="51" t="inlineStr">
        <is>
          <t>COLLO</t>
        </is>
      </c>
      <c r="B34" s="45" t="n">
        <v>1644</v>
      </c>
      <c r="C34" s="52" t="n">
        <v>0.004161624957599016</v>
      </c>
    </row>
    <row r="35">
      <c r="A35" s="51" t="inlineStr">
        <is>
          <t>CONC</t>
        </is>
      </c>
      <c r="B35" s="45" t="n">
        <v>5846</v>
      </c>
      <c r="C35" s="52" t="n">
        <v>0.01479857633949139</v>
      </c>
    </row>
    <row r="36">
      <c r="A36" s="51" t="inlineStr">
        <is>
          <t>COT+</t>
        </is>
      </c>
      <c r="B36" s="45" t="n">
        <v>197</v>
      </c>
      <c r="C36" s="52" t="n">
        <v>0.000498686202340028</v>
      </c>
    </row>
    <row r="37">
      <c r="A37" s="51" t="inlineStr">
        <is>
          <t>CSS</t>
        </is>
      </c>
      <c r="B37" s="45" t="n">
        <v>854</v>
      </c>
      <c r="C37" s="52" t="n">
        <v>0.002161817344154233</v>
      </c>
    </row>
    <row r="38">
      <c r="A38" s="51" t="inlineStr">
        <is>
          <t>DECES</t>
        </is>
      </c>
      <c r="B38" s="45" t="n">
        <v>13052</v>
      </c>
      <c r="C38" s="52" t="n">
        <v>0.03303985945655861</v>
      </c>
    </row>
    <row r="39">
      <c r="A39" s="51" t="inlineStr">
        <is>
          <t>DEM</t>
        </is>
      </c>
      <c r="B39" s="45" t="n">
        <v>6529</v>
      </c>
      <c r="C39" s="52" t="n">
        <v>0.01652752393440631</v>
      </c>
    </row>
    <row r="40">
      <c r="A40" s="51" t="inlineStr">
        <is>
          <t>DEMUT</t>
        </is>
      </c>
      <c r="B40" s="45" t="n">
        <v>19</v>
      </c>
      <c r="C40" s="52" t="n">
        <v>4.809663880436819e-05</v>
      </c>
    </row>
    <row r="41">
      <c r="A41" s="51" t="inlineStr">
        <is>
          <t>DENT</t>
        </is>
      </c>
      <c r="B41" s="45" t="n">
        <v>28081</v>
      </c>
      <c r="C41" s="52" t="n">
        <v>0.07108430075081384</v>
      </c>
    </row>
    <row r="42">
      <c r="A42" s="51" t="inlineStr">
        <is>
          <t>DETRA</t>
        </is>
      </c>
      <c r="B42" s="45" t="n">
        <v>264</v>
      </c>
      <c r="C42" s="52" t="n">
        <v>0.0006682901391764842</v>
      </c>
    </row>
    <row r="43">
      <c r="A43" s="51" t="inlineStr">
        <is>
          <t>DISP</t>
        </is>
      </c>
      <c r="B43" s="45" t="n">
        <v>58511</v>
      </c>
      <c r="C43" s="52" t="n">
        <v>0.148114864899073</v>
      </c>
    </row>
    <row r="44">
      <c r="A44" s="51" t="inlineStr">
        <is>
          <t>DOUBL</t>
        </is>
      </c>
      <c r="B44" s="45" t="n">
        <v>9578</v>
      </c>
      <c r="C44" s="52" t="n">
        <v>0.02424576876148624</v>
      </c>
    </row>
    <row r="45">
      <c r="A45" s="51" t="inlineStr">
        <is>
          <t>DRET</t>
        </is>
      </c>
      <c r="B45" s="45" t="n">
        <v>4581</v>
      </c>
      <c r="C45" s="52" t="n">
        <v>0.0115963527559374</v>
      </c>
    </row>
    <row r="46">
      <c r="A46" s="51" t="inlineStr">
        <is>
          <t>FMGAR</t>
        </is>
      </c>
      <c r="B46" s="45" t="n">
        <v>21</v>
      </c>
      <c r="C46" s="52" t="n">
        <v>5.315944288903852e-05</v>
      </c>
    </row>
    <row r="47">
      <c r="A47" s="51" t="inlineStr">
        <is>
          <t>FPORT</t>
        </is>
      </c>
      <c r="B47" s="45" t="n">
        <v>327</v>
      </c>
      <c r="C47" s="52" t="n">
        <v>0.0008277684678435999</v>
      </c>
    </row>
    <row r="48">
      <c r="A48" s="51" t="inlineStr">
        <is>
          <t>IMP</t>
        </is>
      </c>
      <c r="B48" s="45" t="n">
        <v>1559</v>
      </c>
      <c r="C48" s="52" t="n">
        <v>0.003946455784000527</v>
      </c>
    </row>
    <row r="49">
      <c r="A49" s="51" t="inlineStr">
        <is>
          <t>OFFRE</t>
        </is>
      </c>
      <c r="B49" s="45" t="n">
        <v>716</v>
      </c>
      <c r="C49" s="52" t="n">
        <v>0.00181248386231198</v>
      </c>
    </row>
    <row r="50">
      <c r="A50" s="51" t="inlineStr">
        <is>
          <t>PREST</t>
        </is>
      </c>
      <c r="B50" s="45" t="n">
        <v>30</v>
      </c>
      <c r="C50" s="52" t="n">
        <v>7.594206127005503e-05</v>
      </c>
    </row>
    <row r="51">
      <c r="A51" s="51" t="inlineStr">
        <is>
          <t>RADIA</t>
        </is>
      </c>
      <c r="B51" s="45" t="n">
        <v>6</v>
      </c>
      <c r="C51" s="52" t="n">
        <v>1.518841225401101e-05</v>
      </c>
    </row>
    <row r="52">
      <c r="A52" s="51" t="inlineStr">
        <is>
          <t>SUSP</t>
        </is>
      </c>
      <c r="B52" s="45" t="n">
        <v>633</v>
      </c>
      <c r="C52" s="52" t="n">
        <v>0.001602377492798161</v>
      </c>
    </row>
    <row r="53">
      <c r="A53" s="51" t="inlineStr">
        <is>
          <t>TRANS</t>
        </is>
      </c>
      <c r="B53" s="45" t="n">
        <v>288</v>
      </c>
      <c r="C53" s="52" t="n">
        <v>0.0007290437881925284</v>
      </c>
    </row>
    <row r="54">
      <c r="A54" s="51" t="inlineStr">
        <is>
          <t>(vide)</t>
        </is>
      </c>
      <c r="B54" s="45" t="n">
        <v>6787</v>
      </c>
      <c r="C54" s="52" t="n">
        <v>0.01718062566132878</v>
      </c>
    </row>
    <row r="55">
      <c r="A55" s="55" t="inlineStr">
        <is>
          <t>Total général</t>
        </is>
      </c>
      <c r="B55" s="56" t="n">
        <v>395038</v>
      </c>
      <c r="C55" s="57" t="n">
        <v>1</v>
      </c>
    </row>
    <row r="56"/>
    <row r="57">
      <c r="A57" s="54" t="inlineStr">
        <is>
          <t>Société</t>
        </is>
      </c>
      <c r="B57" s="54" t="inlineStr">
        <is>
          <t>044</t>
        </is>
      </c>
    </row>
    <row r="58"/>
    <row r="59">
      <c r="A59" s="44" t="inlineStr">
        <is>
          <t>Étiquettes de lignes</t>
        </is>
      </c>
      <c r="B59" s="44" t="inlineStr">
        <is>
          <t>Somme de nombre de résiliations</t>
        </is>
      </c>
      <c r="C59" s="44" t="inlineStr">
        <is>
          <t>% du total</t>
        </is>
      </c>
    </row>
    <row r="60">
      <c r="A60" s="51" t="inlineStr">
        <is>
          <t>ANNUL</t>
        </is>
      </c>
      <c r="B60" s="45" t="n">
        <v>253</v>
      </c>
      <c r="C60" s="52" t="n">
        <v>0.1897974493623406</v>
      </c>
    </row>
    <row r="61">
      <c r="A61" s="51" t="inlineStr">
        <is>
          <t>CJUAD</t>
        </is>
      </c>
      <c r="B61" s="45" t="n">
        <v>2</v>
      </c>
      <c r="C61" s="52" t="n">
        <v>0.001500375093773443</v>
      </c>
    </row>
    <row r="62">
      <c r="A62" s="51" t="inlineStr">
        <is>
          <t>CMEAE</t>
        </is>
      </c>
      <c r="B62" s="45" t="n">
        <v>6</v>
      </c>
      <c r="C62" s="52" t="n">
        <v>0.00450112528132033</v>
      </c>
    </row>
    <row r="63">
      <c r="A63" s="51" t="inlineStr">
        <is>
          <t>CMEN</t>
        </is>
      </c>
      <c r="B63" s="45" t="n">
        <v>7</v>
      </c>
      <c r="C63" s="52" t="n">
        <v>0.005251312828207052</v>
      </c>
    </row>
    <row r="64">
      <c r="A64" s="51" t="inlineStr">
        <is>
          <t>COLLO</t>
        </is>
      </c>
      <c r="B64" s="45" t="n">
        <v>37</v>
      </c>
      <c r="C64" s="52" t="n">
        <v>0.0277569392348087</v>
      </c>
    </row>
    <row r="65">
      <c r="A65" s="51" t="inlineStr">
        <is>
          <t>CONC</t>
        </is>
      </c>
      <c r="B65" s="45" t="n">
        <v>47</v>
      </c>
      <c r="C65" s="52" t="n">
        <v>0.03525881470367592</v>
      </c>
    </row>
    <row r="66">
      <c r="A66" s="51" t="inlineStr">
        <is>
          <t>COT+</t>
        </is>
      </c>
      <c r="B66" s="45" t="n">
        <v>3</v>
      </c>
      <c r="C66" s="52" t="n">
        <v>0.002250562640660165</v>
      </c>
    </row>
    <row r="67">
      <c r="A67" s="51" t="inlineStr">
        <is>
          <t>CSS</t>
        </is>
      </c>
      <c r="B67" s="45" t="n">
        <v>2</v>
      </c>
      <c r="C67" s="52" t="n">
        <v>0.001500375093773443</v>
      </c>
    </row>
    <row r="68">
      <c r="A68" s="51" t="inlineStr">
        <is>
          <t>DECES</t>
        </is>
      </c>
      <c r="B68" s="45" t="n">
        <v>100</v>
      </c>
      <c r="C68" s="52" t="n">
        <v>0.07501875468867217</v>
      </c>
    </row>
    <row r="69">
      <c r="A69" s="51" t="inlineStr">
        <is>
          <t>DEM</t>
        </is>
      </c>
      <c r="B69" s="45" t="n">
        <v>161</v>
      </c>
      <c r="C69" s="52" t="n">
        <v>0.1207801950487622</v>
      </c>
    </row>
    <row r="70">
      <c r="A70" s="51" t="inlineStr">
        <is>
          <t>DEMUT</t>
        </is>
      </c>
      <c r="B70" s="45" t="n">
        <v>143</v>
      </c>
      <c r="C70" s="52" t="n">
        <v>0.1072768192048012</v>
      </c>
    </row>
    <row r="71">
      <c r="A71" s="51" t="inlineStr">
        <is>
          <t>DENT</t>
        </is>
      </c>
      <c r="B71" s="45" t="n">
        <v>238</v>
      </c>
      <c r="C71" s="52" t="n">
        <v>0.1785446361590398</v>
      </c>
    </row>
    <row r="72">
      <c r="A72" s="51" t="inlineStr">
        <is>
          <t>DETRA</t>
        </is>
      </c>
      <c r="B72" s="45" t="n">
        <v>11</v>
      </c>
      <c r="C72" s="52" t="n">
        <v>0.008252063015753939</v>
      </c>
    </row>
    <row r="73">
      <c r="A73" s="51" t="inlineStr">
        <is>
          <t>DISP</t>
        </is>
      </c>
      <c r="B73" s="45" t="n">
        <v>188</v>
      </c>
      <c r="C73" s="52" t="n">
        <v>0.1410352588147037</v>
      </c>
    </row>
    <row r="74">
      <c r="A74" s="51" t="inlineStr">
        <is>
          <t>DOUBL</t>
        </is>
      </c>
      <c r="B74" s="45" t="n">
        <v>14</v>
      </c>
      <c r="C74" s="52" t="n">
        <v>0.0105026256564141</v>
      </c>
    </row>
    <row r="75">
      <c r="A75" s="51" t="inlineStr">
        <is>
          <t>DRET</t>
        </is>
      </c>
      <c r="B75" s="45" t="n">
        <v>62</v>
      </c>
      <c r="C75" s="52" t="n">
        <v>0.04651162790697674</v>
      </c>
    </row>
    <row r="76">
      <c r="A76" s="51" t="inlineStr">
        <is>
          <t>FPORT</t>
        </is>
      </c>
      <c r="B76" s="45" t="n">
        <v>2</v>
      </c>
      <c r="C76" s="52" t="n">
        <v>0.001500375093773443</v>
      </c>
    </row>
    <row r="77">
      <c r="A77" s="51" t="inlineStr">
        <is>
          <t>IMP</t>
        </is>
      </c>
      <c r="B77" s="45" t="n">
        <v>24</v>
      </c>
      <c r="C77" s="52" t="n">
        <v>0.01800450112528132</v>
      </c>
    </row>
    <row r="78">
      <c r="A78" s="51" t="inlineStr">
        <is>
          <t>OFFRE</t>
        </is>
      </c>
      <c r="B78" s="45" t="n">
        <v>4</v>
      </c>
      <c r="C78" s="52" t="n">
        <v>0.003000750187546887</v>
      </c>
    </row>
    <row r="79">
      <c r="A79" s="51" t="inlineStr">
        <is>
          <t>PREST</t>
        </is>
      </c>
      <c r="B79" s="45" t="n">
        <v>1</v>
      </c>
      <c r="C79" s="52" t="n">
        <v>0.0007501875468867217</v>
      </c>
    </row>
    <row r="80">
      <c r="A80" s="51" t="inlineStr">
        <is>
          <t>SUSP</t>
        </is>
      </c>
      <c r="B80" s="45" t="n">
        <v>21</v>
      </c>
      <c r="C80" s="52" t="n">
        <v>0.01575393848462115</v>
      </c>
    </row>
    <row r="81">
      <c r="A81" s="51" t="inlineStr">
        <is>
          <t>TRANS</t>
        </is>
      </c>
      <c r="B81" s="45" t="n">
        <v>7</v>
      </c>
      <c r="C81" s="52" t="n">
        <v>0.005251312828207052</v>
      </c>
    </row>
    <row r="82">
      <c r="A82" s="55" t="inlineStr">
        <is>
          <t>Total général</t>
        </is>
      </c>
      <c r="B82" s="56" t="n">
        <v>1333</v>
      </c>
      <c r="C82" s="57" t="n">
        <v>1</v>
      </c>
    </row>
    <row r="83"/>
    <row r="84">
      <c r="A84" s="54" t="inlineStr">
        <is>
          <t>Société</t>
        </is>
      </c>
      <c r="B84" s="54" t="inlineStr">
        <is>
          <t>052</t>
        </is>
      </c>
    </row>
    <row r="85"/>
    <row r="86">
      <c r="A86" s="44" t="inlineStr">
        <is>
          <t>Étiquettes de lignes</t>
        </is>
      </c>
      <c r="B86" s="44" t="inlineStr">
        <is>
          <t>Somme de nombre de résiliations</t>
        </is>
      </c>
      <c r="C86" s="44" t="inlineStr">
        <is>
          <t>% du total</t>
        </is>
      </c>
    </row>
    <row r="87">
      <c r="A87" s="51" t="inlineStr">
        <is>
          <t>ANNUL</t>
        </is>
      </c>
      <c r="B87" s="45" t="n">
        <v>20</v>
      </c>
      <c r="C87" s="52" t="n">
        <v>0.03289473684210526</v>
      </c>
    </row>
    <row r="88">
      <c r="A88" s="51" t="inlineStr">
        <is>
          <t>COLLO</t>
        </is>
      </c>
      <c r="B88" s="45" t="n">
        <v>26</v>
      </c>
      <c r="C88" s="52" t="n">
        <v>0.04276315789473684</v>
      </c>
    </row>
    <row r="89">
      <c r="A89" s="51" t="inlineStr">
        <is>
          <t>CONC</t>
        </is>
      </c>
      <c r="B89" s="45" t="n">
        <v>5</v>
      </c>
      <c r="C89" s="52" t="n">
        <v>0.008223684210526315</v>
      </c>
    </row>
    <row r="90">
      <c r="A90" s="51" t="inlineStr">
        <is>
          <t>CSS</t>
        </is>
      </c>
      <c r="B90" s="45" t="n">
        <v>3</v>
      </c>
      <c r="C90" s="52" t="n">
        <v>0.004934210526315789</v>
      </c>
    </row>
    <row r="91">
      <c r="A91" s="51" t="inlineStr">
        <is>
          <t>DECES</t>
        </is>
      </c>
      <c r="B91" s="45" t="n">
        <v>5</v>
      </c>
      <c r="C91" s="52" t="n">
        <v>0.008223684210526315</v>
      </c>
    </row>
    <row r="92">
      <c r="A92" s="51" t="inlineStr">
        <is>
          <t>DEM</t>
        </is>
      </c>
      <c r="B92" s="45" t="n">
        <v>112</v>
      </c>
      <c r="C92" s="52" t="n">
        <v>0.1842105263157895</v>
      </c>
    </row>
    <row r="93">
      <c r="A93" s="51" t="inlineStr">
        <is>
          <t>DENT</t>
        </is>
      </c>
      <c r="B93" s="45" t="n">
        <v>288</v>
      </c>
      <c r="C93" s="52" t="n">
        <v>0.4736842105263158</v>
      </c>
    </row>
    <row r="94">
      <c r="A94" s="51" t="inlineStr">
        <is>
          <t>DISP</t>
        </is>
      </c>
      <c r="B94" s="45" t="n">
        <v>4</v>
      </c>
      <c r="C94" s="52" t="n">
        <v>0.006578947368421052</v>
      </c>
    </row>
    <row r="95">
      <c r="A95" s="51" t="inlineStr">
        <is>
          <t>DOUBL</t>
        </is>
      </c>
      <c r="B95" s="45" t="n">
        <v>1</v>
      </c>
      <c r="C95" s="52" t="n">
        <v>0.001644736842105263</v>
      </c>
    </row>
    <row r="96">
      <c r="A96" s="51" t="inlineStr">
        <is>
          <t>DRET</t>
        </is>
      </c>
      <c r="B96" s="45" t="n">
        <v>41</v>
      </c>
      <c r="C96" s="52" t="n">
        <v>0.06743421052631579</v>
      </c>
    </row>
    <row r="97">
      <c r="A97" s="51" t="inlineStr">
        <is>
          <t>FMGAR</t>
        </is>
      </c>
      <c r="B97" s="45" t="n">
        <v>19</v>
      </c>
      <c r="C97" s="52" t="n">
        <v>0.03125</v>
      </c>
    </row>
    <row r="98">
      <c r="A98" s="51" t="inlineStr">
        <is>
          <t>FPORT</t>
        </is>
      </c>
      <c r="B98" s="45" t="n">
        <v>54</v>
      </c>
      <c r="C98" s="52" t="n">
        <v>0.08881578947368421</v>
      </c>
    </row>
    <row r="99">
      <c r="A99" s="51" t="inlineStr">
        <is>
          <t>RADIA</t>
        </is>
      </c>
      <c r="B99" s="45" t="n">
        <v>6</v>
      </c>
      <c r="C99" s="52" t="n">
        <v>0.009868421052631578</v>
      </c>
    </row>
    <row r="100">
      <c r="A100" s="51" t="inlineStr">
        <is>
          <t>SUSP</t>
        </is>
      </c>
      <c r="B100" s="45" t="n">
        <v>18</v>
      </c>
      <c r="C100" s="52" t="n">
        <v>0.02960526315789474</v>
      </c>
    </row>
    <row r="101">
      <c r="A101" s="51" t="inlineStr">
        <is>
          <t>TRANS</t>
        </is>
      </c>
      <c r="B101" s="45" t="n">
        <v>6</v>
      </c>
      <c r="C101" s="52" t="n">
        <v>0.009868421052631578</v>
      </c>
    </row>
    <row r="102">
      <c r="A102" s="55" t="inlineStr">
        <is>
          <t>Total général</t>
        </is>
      </c>
      <c r="B102" s="56" t="n">
        <v>608</v>
      </c>
      <c r="C102" s="57" t="n">
        <v>1</v>
      </c>
    </row>
    <row r="103"/>
    <row r="104">
      <c r="A104" s="54" t="inlineStr">
        <is>
          <t>Société</t>
        </is>
      </c>
      <c r="B104" s="54" t="inlineStr">
        <is>
          <t>073</t>
        </is>
      </c>
    </row>
    <row r="105"/>
    <row r="106">
      <c r="A106" s="44" t="inlineStr">
        <is>
          <t>Étiquettes de lignes</t>
        </is>
      </c>
      <c r="B106" s="44" t="inlineStr">
        <is>
          <t>Somme de nombre de résiliations</t>
        </is>
      </c>
      <c r="C106" s="44" t="inlineStr">
        <is>
          <t>% du total</t>
        </is>
      </c>
    </row>
    <row r="107">
      <c r="A107" s="51" t="inlineStr">
        <is>
          <t>ANNUL</t>
        </is>
      </c>
      <c r="B107" s="45" t="n">
        <v>26</v>
      </c>
      <c r="C107" s="52" t="n">
        <v>0.7222222222222222</v>
      </c>
    </row>
    <row r="108">
      <c r="A108" s="51" t="inlineStr">
        <is>
          <t>DECES</t>
        </is>
      </c>
      <c r="B108" s="45" t="n">
        <v>1</v>
      </c>
      <c r="C108" s="52" t="n">
        <v>0.02777777777777778</v>
      </c>
    </row>
    <row r="109">
      <c r="A109" s="51" t="inlineStr">
        <is>
          <t>DEM</t>
        </is>
      </c>
      <c r="B109" s="45" t="n">
        <v>1</v>
      </c>
      <c r="C109" s="52" t="n">
        <v>0.02777777777777778</v>
      </c>
    </row>
    <row r="110">
      <c r="A110" s="51" t="inlineStr">
        <is>
          <t>DENT</t>
        </is>
      </c>
      <c r="B110" s="45" t="n">
        <v>2</v>
      </c>
      <c r="C110" s="52" t="n">
        <v>0.05555555555555555</v>
      </c>
    </row>
    <row r="111">
      <c r="A111" s="51" t="inlineStr">
        <is>
          <t>DOUBL</t>
        </is>
      </c>
      <c r="B111" s="45" t="n">
        <v>1</v>
      </c>
      <c r="C111" s="52" t="n">
        <v>0.02777777777777778</v>
      </c>
    </row>
    <row r="112">
      <c r="A112" s="51" t="inlineStr">
        <is>
          <t>DRET</t>
        </is>
      </c>
      <c r="B112" s="45" t="n">
        <v>2</v>
      </c>
      <c r="C112" s="52" t="n">
        <v>0.05555555555555555</v>
      </c>
    </row>
    <row r="113">
      <c r="A113" s="51" t="inlineStr">
        <is>
          <t>SUSP</t>
        </is>
      </c>
      <c r="B113" s="45" t="n">
        <v>3</v>
      </c>
      <c r="C113" s="52" t="n">
        <v>0.08333333333333333</v>
      </c>
    </row>
    <row r="114">
      <c r="A114" s="55" t="inlineStr">
        <is>
          <t>Total général</t>
        </is>
      </c>
      <c r="B114" s="56" t="n">
        <v>36</v>
      </c>
      <c r="C114" s="57" t="n">
        <v>1</v>
      </c>
    </row>
    <row r="115"/>
    <row r="116">
      <c r="A116" s="54" t="inlineStr">
        <is>
          <t>Société</t>
        </is>
      </c>
      <c r="B116" s="54" t="inlineStr">
        <is>
          <t>(Toutes)</t>
        </is>
      </c>
    </row>
    <row r="117"/>
    <row r="118">
      <c r="A118" s="44" t="inlineStr">
        <is>
          <t>Étiquettes de lignes</t>
        </is>
      </c>
      <c r="B118" s="44" t="inlineStr">
        <is>
          <t>Somme de nombre de résiliations</t>
        </is>
      </c>
      <c r="C118" s="44" t="inlineStr">
        <is>
          <t>% du total</t>
        </is>
      </c>
    </row>
    <row r="119">
      <c r="A119" s="58" t="inlineStr">
        <is>
          <t>AGE</t>
        </is>
      </c>
      <c r="B119" s="59" t="n">
        <v>15</v>
      </c>
      <c r="C119" s="60" t="n">
        <v>3.728718340074028e-05</v>
      </c>
    </row>
    <row r="120">
      <c r="A120" s="58" t="inlineStr">
        <is>
          <t>ANNUL</t>
        </is>
      </c>
      <c r="B120" s="59" t="n">
        <v>254417</v>
      </c>
      <c r="C120" s="60" t="n">
        <v>0.6324328892844092</v>
      </c>
    </row>
    <row r="121">
      <c r="A121" s="58" t="inlineStr">
        <is>
          <t>CCULT</t>
        </is>
      </c>
      <c r="B121" s="59" t="n">
        <v>101</v>
      </c>
      <c r="C121" s="60" t="n">
        <v>0.0002510670348983179</v>
      </c>
    </row>
    <row r="122">
      <c r="A122" s="58" t="inlineStr">
        <is>
          <t>CJUAD</t>
        </is>
      </c>
      <c r="B122" s="59" t="n">
        <v>10</v>
      </c>
      <c r="C122" s="60" t="n">
        <v>2.485812226716018e-05</v>
      </c>
    </row>
    <row r="123">
      <c r="A123" s="58" t="inlineStr">
        <is>
          <t>CMEAE</t>
        </is>
      </c>
      <c r="B123" s="59" t="n">
        <v>12</v>
      </c>
      <c r="C123" s="60" t="n">
        <v>2.982974672059222e-05</v>
      </c>
    </row>
    <row r="124">
      <c r="A124" s="58" t="inlineStr">
        <is>
          <t>CMEN</t>
        </is>
      </c>
      <c r="B124" s="59" t="n">
        <v>5671</v>
      </c>
      <c r="C124" s="60" t="n">
        <v>0.01409704113770654</v>
      </c>
    </row>
    <row r="125">
      <c r="A125" s="58" t="inlineStr">
        <is>
          <t>CMGAS</t>
        </is>
      </c>
      <c r="B125" s="59" t="n">
        <v>3</v>
      </c>
      <c r="C125" s="60" t="n">
        <v>7.457436680148055e-06</v>
      </c>
    </row>
    <row r="126">
      <c r="A126" s="58" t="inlineStr">
        <is>
          <t>COLLO</t>
        </is>
      </c>
      <c r="B126" s="59" t="n">
        <v>1726</v>
      </c>
      <c r="C126" s="60" t="n">
        <v>0.004290511903311848</v>
      </c>
    </row>
    <row r="127">
      <c r="A127" s="58" t="inlineStr">
        <is>
          <t>CONC</t>
        </is>
      </c>
      <c r="B127" s="59" t="n">
        <v>5919</v>
      </c>
      <c r="C127" s="60" t="n">
        <v>0.01471352256993211</v>
      </c>
    </row>
    <row r="128">
      <c r="A128" s="58" t="inlineStr">
        <is>
          <t>COT+</t>
        </is>
      </c>
      <c r="B128" s="59" t="n">
        <v>203</v>
      </c>
      <c r="C128" s="60" t="n">
        <v>0.0005046198820233517</v>
      </c>
    </row>
    <row r="129">
      <c r="A129" s="58" t="inlineStr">
        <is>
          <t>CSS</t>
        </is>
      </c>
      <c r="B129" s="59" t="n">
        <v>865</v>
      </c>
      <c r="C129" s="60" t="n">
        <v>0.002150227576109356</v>
      </c>
    </row>
    <row r="130">
      <c r="A130" s="58" t="inlineStr">
        <is>
          <t>DECES</t>
        </is>
      </c>
      <c r="B130" s="59" t="n">
        <v>13191</v>
      </c>
      <c r="C130" s="60" t="n">
        <v>0.032790349082611</v>
      </c>
    </row>
    <row r="131">
      <c r="A131" s="58" t="inlineStr">
        <is>
          <t>DEM</t>
        </is>
      </c>
      <c r="B131" s="59" t="n">
        <v>6838</v>
      </c>
      <c r="C131" s="60" t="n">
        <v>0.01699798400628413</v>
      </c>
    </row>
    <row r="132">
      <c r="A132" s="58" t="inlineStr">
        <is>
          <t>DEMUT</t>
        </is>
      </c>
      <c r="B132" s="59" t="n">
        <v>162</v>
      </c>
      <c r="C132" s="60" t="n">
        <v>0.000402701580727995</v>
      </c>
    </row>
    <row r="133">
      <c r="A133" s="58" t="inlineStr">
        <is>
          <t>DENT</t>
        </is>
      </c>
      <c r="B133" s="59" t="n">
        <v>28741</v>
      </c>
      <c r="C133" s="60" t="n">
        <v>0.07144472920804508</v>
      </c>
    </row>
    <row r="134">
      <c r="A134" s="58" t="inlineStr">
        <is>
          <t>DETRA</t>
        </is>
      </c>
      <c r="B134" s="59" t="n">
        <v>278</v>
      </c>
      <c r="C134" s="60" t="n">
        <v>0.0006910557990270531</v>
      </c>
    </row>
    <row r="135">
      <c r="A135" s="58" t="inlineStr">
        <is>
          <t>DISP</t>
        </is>
      </c>
      <c r="B135" s="59" t="n">
        <v>59155</v>
      </c>
      <c r="C135" s="60" t="n">
        <v>0.1470482222713861</v>
      </c>
    </row>
    <row r="136">
      <c r="A136" s="58" t="inlineStr">
        <is>
          <t>DOUBL</t>
        </is>
      </c>
      <c r="B136" s="59" t="n">
        <v>9599</v>
      </c>
      <c r="C136" s="60" t="n">
        <v>0.02386131156424706</v>
      </c>
    </row>
    <row r="137">
      <c r="A137" s="58" t="inlineStr">
        <is>
          <t>DRET</t>
        </is>
      </c>
      <c r="B137" s="59" t="n">
        <v>4752</v>
      </c>
      <c r="C137" s="60" t="n">
        <v>0.01181257970135452</v>
      </c>
    </row>
    <row r="138">
      <c r="A138" s="58" t="inlineStr">
        <is>
          <t>FMGAR</t>
        </is>
      </c>
      <c r="B138" s="59" t="n">
        <v>43</v>
      </c>
      <c r="C138" s="60" t="n">
        <v>0.0001068899257487888</v>
      </c>
    </row>
    <row r="139">
      <c r="A139" s="58" t="inlineStr">
        <is>
          <t>FPORT</t>
        </is>
      </c>
      <c r="B139" s="59" t="n">
        <v>383</v>
      </c>
      <c r="C139" s="60" t="n">
        <v>0.000952066082832235</v>
      </c>
    </row>
    <row r="140">
      <c r="A140" s="58" t="inlineStr">
        <is>
          <t>IMP</t>
        </is>
      </c>
      <c r="B140" s="59" t="n">
        <v>1583</v>
      </c>
      <c r="C140" s="60" t="n">
        <v>0.003935040754891457</v>
      </c>
    </row>
    <row r="141">
      <c r="A141" s="58" t="inlineStr">
        <is>
          <t>OFFRE</t>
        </is>
      </c>
      <c r="B141" s="59" t="n">
        <v>802</v>
      </c>
      <c r="C141" s="60" t="n">
        <v>0.001993621405826247</v>
      </c>
    </row>
    <row r="142">
      <c r="A142" s="58" t="inlineStr">
        <is>
          <t>PREST</t>
        </is>
      </c>
      <c r="B142" s="59" t="n">
        <v>32</v>
      </c>
      <c r="C142" s="60" t="n">
        <v>7.954599125491258e-05</v>
      </c>
    </row>
    <row r="143">
      <c r="A143" s="58" t="inlineStr">
        <is>
          <t>RADIA</t>
        </is>
      </c>
      <c r="B143" s="59" t="n">
        <v>13</v>
      </c>
      <c r="C143" s="60" t="n">
        <v>3.231555894730824e-05</v>
      </c>
    </row>
    <row r="144">
      <c r="A144" s="58" t="inlineStr">
        <is>
          <t>SUSP</t>
        </is>
      </c>
      <c r="B144" s="59" t="n">
        <v>681</v>
      </c>
      <c r="C144" s="60" t="n">
        <v>0.001692838126393609</v>
      </c>
    </row>
    <row r="145">
      <c r="A145" s="58" t="inlineStr">
        <is>
          <t>TRANS</t>
        </is>
      </c>
      <c r="B145" s="59" t="n">
        <v>301</v>
      </c>
      <c r="C145" s="60" t="n">
        <v>0.0007482294802415216</v>
      </c>
    </row>
    <row r="146">
      <c r="A146" s="58" t="inlineStr">
        <is>
          <t>(vide)</t>
        </is>
      </c>
      <c r="B146" s="59" t="n">
        <v>6787</v>
      </c>
      <c r="C146" s="60" t="n">
        <v>0.01687120758272162</v>
      </c>
    </row>
    <row r="147">
      <c r="A147" s="58" t="inlineStr">
        <is>
          <t>Total général</t>
        </is>
      </c>
      <c r="B147" s="59" t="n">
        <v>402283</v>
      </c>
      <c r="C147" s="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6" min="1" max="1"/>
    <col width="10" customWidth="1" style="36" min="2" max="2"/>
    <col width="15" customWidth="1" style="36" min="3" max="3"/>
    <col width="16" customWidth="1" style="36" min="4" max="4"/>
    <col width="19" customWidth="1" style="36" min="5" max="5"/>
  </cols>
  <sheetData>
    <row r="1">
      <c r="A1" s="44" t="inlineStr">
        <is>
          <t>offre</t>
        </is>
      </c>
      <c r="B1" s="44" t="inlineStr">
        <is>
          <t>codsoc</t>
        </is>
      </c>
      <c r="C1" s="44" t="inlineStr">
        <is>
          <t>type assure</t>
        </is>
      </c>
      <c r="D1" s="44" t="inlineStr">
        <is>
          <t>nb pp a date</t>
        </is>
      </c>
      <c r="E1" s="44" t="inlineStr">
        <is>
          <t>nb pp non radie</t>
        </is>
      </c>
    </row>
    <row r="2">
      <c r="A2" s="51" t="inlineStr">
        <is>
          <t>INMMISPACT</t>
        </is>
      </c>
      <c r="B2" s="53" t="inlineStr">
        <is>
          <t>010</t>
        </is>
      </c>
      <c r="C2" s="53" t="inlineStr">
        <is>
          <t>ASSURE</t>
        </is>
      </c>
      <c r="D2" s="45" t="n">
        <v>3768</v>
      </c>
      <c r="E2" s="45" t="n">
        <v>3776</v>
      </c>
    </row>
    <row r="3">
      <c r="A3" s="51" t="inlineStr">
        <is>
          <t>INMMISPACT</t>
        </is>
      </c>
      <c r="B3" s="53" t="inlineStr">
        <is>
          <t>010</t>
        </is>
      </c>
      <c r="C3" s="53" t="inlineStr">
        <is>
          <t>CONJOI</t>
        </is>
      </c>
      <c r="D3" s="45" t="n">
        <v>904</v>
      </c>
      <c r="E3" s="45" t="n">
        <v>903</v>
      </c>
    </row>
    <row r="4">
      <c r="A4" s="51" t="inlineStr">
        <is>
          <t>INMMISPACT</t>
        </is>
      </c>
      <c r="B4" s="53" t="inlineStr">
        <is>
          <t>010</t>
        </is>
      </c>
      <c r="C4" s="53" t="inlineStr">
        <is>
          <t>ENFANT</t>
        </is>
      </c>
      <c r="D4" s="45" t="n">
        <v>2681</v>
      </c>
      <c r="E4" s="45" t="n">
        <v>2686</v>
      </c>
    </row>
    <row r="5">
      <c r="A5" s="51" t="inlineStr">
        <is>
          <t>INMMISPAUT</t>
        </is>
      </c>
      <c r="B5" s="53" t="inlineStr">
        <is>
          <t>010</t>
        </is>
      </c>
      <c r="C5" s="53" t="inlineStr">
        <is>
          <t>ASSURE</t>
        </is>
      </c>
      <c r="D5" s="45" t="n">
        <v>1772</v>
      </c>
      <c r="E5" s="45" t="n">
        <v>1771</v>
      </c>
    </row>
    <row r="6">
      <c r="A6" s="51" t="inlineStr">
        <is>
          <t>INMMISPAUT</t>
        </is>
      </c>
      <c r="B6" s="53" t="inlineStr">
        <is>
          <t>010</t>
        </is>
      </c>
      <c r="C6" s="53" t="inlineStr">
        <is>
          <t>CONJOI</t>
        </is>
      </c>
      <c r="D6" s="45" t="n">
        <v>151</v>
      </c>
      <c r="E6" s="45" t="n">
        <v>151</v>
      </c>
    </row>
    <row r="7">
      <c r="A7" s="51" t="inlineStr">
        <is>
          <t>INMMISPAUT</t>
        </is>
      </c>
      <c r="B7" s="53" t="inlineStr">
        <is>
          <t>010</t>
        </is>
      </c>
      <c r="C7" s="53" t="inlineStr">
        <is>
          <t>ENFANT</t>
        </is>
      </c>
      <c r="D7" s="45" t="n">
        <v>496</v>
      </c>
      <c r="E7" s="45" t="n">
        <v>498</v>
      </c>
    </row>
    <row r="8">
      <c r="A8" s="51" t="inlineStr">
        <is>
          <t>INMMISPRET</t>
        </is>
      </c>
      <c r="B8" s="53" t="inlineStr">
        <is>
          <t>010</t>
        </is>
      </c>
      <c r="C8" s="53" t="inlineStr">
        <is>
          <t>ASSURE</t>
        </is>
      </c>
      <c r="D8" s="45" t="n">
        <v>5674</v>
      </c>
      <c r="E8" s="45" t="n">
        <v>5674</v>
      </c>
    </row>
    <row r="9">
      <c r="A9" s="51" t="inlineStr">
        <is>
          <t>INMMISPRET</t>
        </is>
      </c>
      <c r="B9" s="53" t="inlineStr">
        <is>
          <t>010</t>
        </is>
      </c>
      <c r="C9" s="53" t="inlineStr">
        <is>
          <t>CONJOI</t>
        </is>
      </c>
      <c r="D9" s="45" t="n">
        <v>1376</v>
      </c>
      <c r="E9" s="45" t="n">
        <v>1376</v>
      </c>
    </row>
    <row r="10">
      <c r="A10" s="51" t="inlineStr">
        <is>
          <t>INMMISPRET</t>
        </is>
      </c>
      <c r="B10" s="53" t="inlineStr">
        <is>
          <t>010</t>
        </is>
      </c>
      <c r="C10" s="53" t="inlineStr">
        <is>
          <t>ENFANT</t>
        </is>
      </c>
      <c r="D10" s="45" t="n">
        <v>422</v>
      </c>
      <c r="E10" s="45" t="n">
        <v>422</v>
      </c>
    </row>
    <row r="11">
      <c r="A11" s="51" t="inlineStr">
        <is>
          <t>INMMSPACT1</t>
        </is>
      </c>
      <c r="B11" s="53" t="inlineStr">
        <is>
          <t>010</t>
        </is>
      </c>
      <c r="C11" s="53" t="inlineStr">
        <is>
          <t>ASSURE</t>
        </is>
      </c>
      <c r="D11" s="45" t="n">
        <v>169664</v>
      </c>
      <c r="E11" s="45" t="n">
        <v>169667</v>
      </c>
    </row>
    <row r="12">
      <c r="A12" s="51" t="inlineStr">
        <is>
          <t>INMMSPACT1</t>
        </is>
      </c>
      <c r="B12" s="53" t="inlineStr">
        <is>
          <t>010</t>
        </is>
      </c>
      <c r="C12" s="53" t="inlineStr">
        <is>
          <t>CONJOI</t>
        </is>
      </c>
      <c r="D12" s="45" t="n">
        <v>9650</v>
      </c>
      <c r="E12" s="45" t="n">
        <v>9651</v>
      </c>
    </row>
    <row r="13">
      <c r="A13" s="51" t="inlineStr">
        <is>
          <t>INMMSPACT1</t>
        </is>
      </c>
      <c r="B13" s="53" t="inlineStr">
        <is>
          <t>010</t>
        </is>
      </c>
      <c r="C13" s="53" t="inlineStr">
        <is>
          <t>ENFANT</t>
        </is>
      </c>
      <c r="D13" s="45" t="n">
        <v>44106</v>
      </c>
      <c r="E13" s="45" t="n">
        <v>44108</v>
      </c>
    </row>
    <row r="14">
      <c r="A14" s="51" t="inlineStr">
        <is>
          <t>INMMSPOJI1</t>
        </is>
      </c>
      <c r="B14" s="53" t="inlineStr">
        <is>
          <t>010</t>
        </is>
      </c>
      <c r="C14" s="53" t="inlineStr">
        <is>
          <t>ASSURE</t>
        </is>
      </c>
      <c r="D14" s="45" t="n">
        <v>32414</v>
      </c>
      <c r="E14" s="45" t="n">
        <v>32432</v>
      </c>
    </row>
    <row r="15">
      <c r="A15" s="51" t="inlineStr">
        <is>
          <t>INMMSPRET1</t>
        </is>
      </c>
      <c r="B15" s="53" t="inlineStr">
        <is>
          <t>010</t>
        </is>
      </c>
      <c r="C15" s="53" t="inlineStr">
        <is>
          <t>ASSURE</t>
        </is>
      </c>
      <c r="D15" s="45" t="n">
        <v>785871</v>
      </c>
      <c r="E15" s="45" t="n">
        <v>785885</v>
      </c>
    </row>
    <row r="16">
      <c r="A16" s="51" t="inlineStr">
        <is>
          <t>INMMSPRET1</t>
        </is>
      </c>
      <c r="B16" s="53" t="inlineStr">
        <is>
          <t>010</t>
        </is>
      </c>
      <c r="C16" s="53" t="inlineStr">
        <is>
          <t>CONJOI</t>
        </is>
      </c>
      <c r="D16" s="45" t="n">
        <v>123129</v>
      </c>
      <c r="E16" s="45" t="n">
        <v>123134</v>
      </c>
    </row>
    <row r="17">
      <c r="A17" s="51" t="inlineStr">
        <is>
          <t>INMMSPRET1</t>
        </is>
      </c>
      <c r="B17" s="53" t="inlineStr">
        <is>
          <t>010</t>
        </is>
      </c>
      <c r="C17" s="53" t="inlineStr">
        <is>
          <t>ENFANT</t>
        </is>
      </c>
      <c r="D17" s="45" t="n">
        <v>21739</v>
      </c>
      <c r="E17" s="45" t="n">
        <v>21741</v>
      </c>
    </row>
    <row r="18">
      <c r="A18" s="51" t="inlineStr">
        <is>
          <t>INPCULT002</t>
        </is>
      </c>
      <c r="B18" s="53" t="inlineStr">
        <is>
          <t>010</t>
        </is>
      </c>
      <c r="C18" s="53" t="inlineStr">
        <is>
          <t>ASSURE</t>
        </is>
      </c>
      <c r="D18" s="45" t="n">
        <v>5</v>
      </c>
      <c r="E18" s="45" t="n">
        <v>5</v>
      </c>
    </row>
    <row r="19">
      <c r="A19" s="51" t="inlineStr">
        <is>
          <t>INPCULT002</t>
        </is>
      </c>
      <c r="B19" s="53" t="inlineStr">
        <is>
          <t>010</t>
        </is>
      </c>
      <c r="C19" s="53" t="inlineStr">
        <is>
          <t>CONJOI</t>
        </is>
      </c>
      <c r="D19" s="45" t="n">
        <v>5</v>
      </c>
      <c r="E19" s="45" t="n">
        <v>5</v>
      </c>
    </row>
    <row r="20">
      <c r="A20" s="51" t="inlineStr">
        <is>
          <t>INPMAS001</t>
        </is>
      </c>
      <c r="B20" s="53" t="inlineStr">
        <is>
          <t>073</t>
        </is>
      </c>
      <c r="C20" s="53" t="inlineStr">
        <is>
          <t>ASSURE</t>
        </is>
      </c>
      <c r="D20" s="45" t="n">
        <v>1</v>
      </c>
      <c r="E20" s="45" t="n">
        <v>1</v>
      </c>
    </row>
    <row r="21">
      <c r="A21" s="51" t="inlineStr">
        <is>
          <t>INPMAS001</t>
        </is>
      </c>
      <c r="B21" s="53" t="inlineStr">
        <is>
          <t>073</t>
        </is>
      </c>
      <c r="C21" s="53" t="inlineStr">
        <is>
          <t>CONJOI</t>
        </is>
      </c>
      <c r="D21" s="45" t="n">
        <v>1</v>
      </c>
      <c r="E21" s="45" t="n">
        <v>1</v>
      </c>
    </row>
    <row r="22">
      <c r="A22" s="51" t="inlineStr">
        <is>
          <t>INPPREVIND</t>
        </is>
      </c>
      <c r="B22" s="53" t="inlineStr">
        <is>
          <t>010</t>
        </is>
      </c>
      <c r="C22" s="53" t="inlineStr">
        <is>
          <t>ASSURE</t>
        </is>
      </c>
      <c r="D22" s="45" t="n">
        <v>690926</v>
      </c>
      <c r="E22" s="45" t="n">
        <v>691892</v>
      </c>
    </row>
    <row r="23">
      <c r="A23" s="51" t="inlineStr">
        <is>
          <t>INSC2SG</t>
        </is>
      </c>
      <c r="B23" s="53" t="inlineStr">
        <is>
          <t>010</t>
        </is>
      </c>
      <c r="C23" s="53" t="inlineStr">
        <is>
          <t>ASSURE</t>
        </is>
      </c>
      <c r="D23" s="45" t="n">
        <v>15177</v>
      </c>
      <c r="E23" s="45" t="n">
        <v>15651</v>
      </c>
    </row>
    <row r="24">
      <c r="A24" s="51" t="inlineStr">
        <is>
          <t>INSC2SG</t>
        </is>
      </c>
      <c r="B24" s="53" t="inlineStr">
        <is>
          <t>010</t>
        </is>
      </c>
      <c r="C24" s="53" t="inlineStr">
        <is>
          <t>CONJOI</t>
        </is>
      </c>
      <c r="D24" s="45" t="n">
        <v>57</v>
      </c>
      <c r="E24" s="45" t="n">
        <v>91</v>
      </c>
    </row>
    <row r="25">
      <c r="A25" s="51" t="inlineStr">
        <is>
          <t>INSC2SG</t>
        </is>
      </c>
      <c r="B25" s="53" t="inlineStr">
        <is>
          <t>010</t>
        </is>
      </c>
      <c r="C25" s="53" t="inlineStr">
        <is>
          <t>ENFANT</t>
        </is>
      </c>
      <c r="D25" s="45" t="n">
        <v>6423</v>
      </c>
      <c r="E25" s="45" t="n">
        <v>6625</v>
      </c>
    </row>
    <row r="26">
      <c r="A26" s="51" t="inlineStr">
        <is>
          <t>INSC2SP</t>
        </is>
      </c>
      <c r="B26" s="53" t="inlineStr">
        <is>
          <t>010</t>
        </is>
      </c>
      <c r="C26" s="53" t="inlineStr">
        <is>
          <t>ASSURE</t>
        </is>
      </c>
      <c r="D26" s="45" t="n">
        <v>10180</v>
      </c>
      <c r="E26" s="45" t="n">
        <v>10878</v>
      </c>
    </row>
    <row r="27">
      <c r="A27" s="51" t="inlineStr">
        <is>
          <t>INSC2SP</t>
        </is>
      </c>
      <c r="B27" s="53" t="inlineStr">
        <is>
          <t>010</t>
        </is>
      </c>
      <c r="C27" s="53" t="inlineStr">
        <is>
          <t>CONJOI</t>
        </is>
      </c>
      <c r="D27" s="45" t="n">
        <v>755</v>
      </c>
      <c r="E27" s="45" t="n">
        <v>785</v>
      </c>
    </row>
    <row r="28">
      <c r="A28" s="51" t="inlineStr">
        <is>
          <t>INSC2SP</t>
        </is>
      </c>
      <c r="B28" s="53" t="inlineStr">
        <is>
          <t>010</t>
        </is>
      </c>
      <c r="C28" s="53" t="inlineStr">
        <is>
          <t>ENFANT</t>
        </is>
      </c>
      <c r="D28" s="45" t="n">
        <v>5086</v>
      </c>
      <c r="E28" s="45" t="n">
        <v>5226</v>
      </c>
    </row>
    <row r="29">
      <c r="A29" s="51" t="inlineStr">
        <is>
          <t>INSC2SS</t>
        </is>
      </c>
      <c r="B29" s="53" t="inlineStr">
        <is>
          <t>010</t>
        </is>
      </c>
      <c r="C29" s="53" t="inlineStr">
        <is>
          <t>ASSURE</t>
        </is>
      </c>
      <c r="D29" s="45" t="n">
        <v>665</v>
      </c>
      <c r="E29" s="45" t="n">
        <v>666</v>
      </c>
    </row>
    <row r="30">
      <c r="A30" s="51" t="inlineStr">
        <is>
          <t>INSC2SS</t>
        </is>
      </c>
      <c r="B30" s="53" t="inlineStr">
        <is>
          <t>010</t>
        </is>
      </c>
      <c r="C30" s="53" t="inlineStr">
        <is>
          <t>CONJOI</t>
        </is>
      </c>
      <c r="D30" s="45" t="n">
        <v>79</v>
      </c>
      <c r="E30" s="45" t="n">
        <v>79</v>
      </c>
    </row>
    <row r="31">
      <c r="A31" s="51" t="inlineStr">
        <is>
          <t>INSC2SS</t>
        </is>
      </c>
      <c r="B31" s="53" t="inlineStr">
        <is>
          <t>010</t>
        </is>
      </c>
      <c r="C31" s="53" t="inlineStr">
        <is>
          <t>ENFANT</t>
        </is>
      </c>
      <c r="D31" s="45" t="n">
        <v>331</v>
      </c>
      <c r="E31" s="45" t="n">
        <v>331</v>
      </c>
    </row>
    <row r="32">
      <c r="A32" s="51" t="inlineStr">
        <is>
          <t>INSEFFBRED</t>
        </is>
      </c>
      <c r="B32" s="53" t="inlineStr">
        <is>
          <t>010</t>
        </is>
      </c>
      <c r="C32" s="53" t="inlineStr">
        <is>
          <t>ASSURE</t>
        </is>
      </c>
      <c r="D32" s="45" t="n">
        <v>741</v>
      </c>
      <c r="E32" s="45" t="n">
        <v>742</v>
      </c>
    </row>
    <row r="33">
      <c r="A33" s="51" t="inlineStr">
        <is>
          <t>INSEFFBRED</t>
        </is>
      </c>
      <c r="B33" s="53" t="inlineStr">
        <is>
          <t>010</t>
        </is>
      </c>
      <c r="C33" s="53" t="inlineStr">
        <is>
          <t>CONJOI</t>
        </is>
      </c>
      <c r="D33" s="45" t="n">
        <v>1</v>
      </c>
      <c r="E33" s="45" t="n">
        <v>1</v>
      </c>
    </row>
    <row r="34">
      <c r="A34" s="51" t="inlineStr">
        <is>
          <t>INSEFFBRED</t>
        </is>
      </c>
      <c r="B34" s="53" t="inlineStr">
        <is>
          <t>010</t>
        </is>
      </c>
      <c r="C34" s="53" t="inlineStr">
        <is>
          <t>ENFANT</t>
        </is>
      </c>
      <c r="D34" s="45" t="n">
        <v>163</v>
      </c>
      <c r="E34" s="45" t="n">
        <v>163</v>
      </c>
    </row>
    <row r="35">
      <c r="A35" s="51" t="inlineStr">
        <is>
          <t>INSEFFICIE</t>
        </is>
      </c>
      <c r="B35" s="53" t="inlineStr">
        <is>
          <t>010</t>
        </is>
      </c>
      <c r="C35" s="53" t="inlineStr">
        <is>
          <t>ASSURE</t>
        </is>
      </c>
      <c r="D35" s="45" t="n">
        <v>92473</v>
      </c>
      <c r="E35" s="45" t="n">
        <v>92503</v>
      </c>
    </row>
    <row r="36">
      <c r="A36" s="51" t="inlineStr">
        <is>
          <t>INSEFFICIE</t>
        </is>
      </c>
      <c r="B36" s="53" t="inlineStr">
        <is>
          <t>010</t>
        </is>
      </c>
      <c r="C36" s="53" t="inlineStr">
        <is>
          <t>CONJOI</t>
        </is>
      </c>
      <c r="D36" s="45" t="n">
        <v>58</v>
      </c>
      <c r="E36" s="45" t="n">
        <v>58</v>
      </c>
    </row>
    <row r="37">
      <c r="A37" s="51" t="inlineStr">
        <is>
          <t>INSEFFICIE</t>
        </is>
      </c>
      <c r="B37" s="53" t="inlineStr">
        <is>
          <t>010</t>
        </is>
      </c>
      <c r="C37" s="53" t="inlineStr">
        <is>
          <t>ENFANT</t>
        </is>
      </c>
      <c r="D37" s="45" t="n">
        <v>19426</v>
      </c>
      <c r="E37" s="45" t="n">
        <v>19445</v>
      </c>
    </row>
    <row r="38">
      <c r="A38" s="51" t="inlineStr">
        <is>
          <t>INSMAEEPNR</t>
        </is>
      </c>
      <c r="B38" s="53" t="inlineStr">
        <is>
          <t>044</t>
        </is>
      </c>
      <c r="C38" s="53" t="inlineStr">
        <is>
          <t>ASSURE</t>
        </is>
      </c>
      <c r="D38" s="45" t="n">
        <v>68</v>
      </c>
      <c r="E38" s="45" t="n">
        <v>68</v>
      </c>
    </row>
    <row r="39">
      <c r="A39" s="51" t="inlineStr">
        <is>
          <t>INSMAEEPNR</t>
        </is>
      </c>
      <c r="B39" s="53" t="inlineStr">
        <is>
          <t>044</t>
        </is>
      </c>
      <c r="C39" s="53" t="inlineStr">
        <is>
          <t>CONJOI</t>
        </is>
      </c>
      <c r="D39" s="45" t="n">
        <v>26</v>
      </c>
      <c r="E39" s="45" t="n">
        <v>26</v>
      </c>
    </row>
    <row r="40">
      <c r="A40" s="51" t="inlineStr">
        <is>
          <t>INSMAEEPNR</t>
        </is>
      </c>
      <c r="B40" s="53" t="inlineStr">
        <is>
          <t>044</t>
        </is>
      </c>
      <c r="C40" s="53" t="inlineStr">
        <is>
          <t>ENFANT</t>
        </is>
      </c>
      <c r="D40" s="45" t="n">
        <v>11</v>
      </c>
      <c r="E40" s="45" t="n">
        <v>11</v>
      </c>
    </row>
    <row r="41">
      <c r="A41" s="51" t="inlineStr">
        <is>
          <t>INSMAEEREF</t>
        </is>
      </c>
      <c r="B41" s="53" t="inlineStr">
        <is>
          <t>044</t>
        </is>
      </c>
      <c r="C41" s="53" t="inlineStr">
        <is>
          <t>ASCEND</t>
        </is>
      </c>
      <c r="D41" s="45" t="n">
        <v>3</v>
      </c>
      <c r="E41" s="45" t="n">
        <v>3</v>
      </c>
    </row>
    <row r="42">
      <c r="A42" s="51" t="inlineStr">
        <is>
          <t>INSMAEEREF</t>
        </is>
      </c>
      <c r="B42" s="53" t="inlineStr">
        <is>
          <t>044</t>
        </is>
      </c>
      <c r="C42" s="53" t="inlineStr">
        <is>
          <t>ASSURE</t>
        </is>
      </c>
      <c r="D42" s="45" t="n">
        <v>491</v>
      </c>
      <c r="E42" s="45" t="n">
        <v>491</v>
      </c>
    </row>
    <row r="43">
      <c r="A43" s="51" t="inlineStr">
        <is>
          <t>INSMAEEREF</t>
        </is>
      </c>
      <c r="B43" s="53" t="inlineStr">
        <is>
          <t>044</t>
        </is>
      </c>
      <c r="C43" s="53" t="inlineStr">
        <is>
          <t>CONJOI</t>
        </is>
      </c>
      <c r="D43" s="45" t="n">
        <v>137</v>
      </c>
      <c r="E43" s="45" t="n">
        <v>137</v>
      </c>
    </row>
    <row r="44">
      <c r="A44" s="51" t="inlineStr">
        <is>
          <t>INSMAEEREF</t>
        </is>
      </c>
      <c r="B44" s="53" t="inlineStr">
        <is>
          <t>044</t>
        </is>
      </c>
      <c r="C44" s="53" t="inlineStr">
        <is>
          <t>ENFANT</t>
        </is>
      </c>
      <c r="D44" s="45" t="n">
        <v>10</v>
      </c>
      <c r="E44" s="45" t="n">
        <v>10</v>
      </c>
    </row>
    <row r="45">
      <c r="A45" s="51" t="inlineStr">
        <is>
          <t>INSMAEERET</t>
        </is>
      </c>
      <c r="B45" s="53" t="inlineStr">
        <is>
          <t>044</t>
        </is>
      </c>
      <c r="C45" s="53" t="inlineStr">
        <is>
          <t>ASCEND</t>
        </is>
      </c>
      <c r="D45" s="45" t="n">
        <v>12</v>
      </c>
      <c r="E45" s="45" t="n">
        <v>12</v>
      </c>
    </row>
    <row r="46">
      <c r="A46" s="51" t="inlineStr">
        <is>
          <t>INSMAEERET</t>
        </is>
      </c>
      <c r="B46" s="53" t="inlineStr">
        <is>
          <t>044</t>
        </is>
      </c>
      <c r="C46" s="53" t="inlineStr">
        <is>
          <t>ASSURE</t>
        </is>
      </c>
      <c r="D46" s="45" t="n">
        <v>4193</v>
      </c>
      <c r="E46" s="45" t="n">
        <v>4192</v>
      </c>
    </row>
    <row r="47">
      <c r="A47" s="51" t="inlineStr">
        <is>
          <t>INSMAEERET</t>
        </is>
      </c>
      <c r="B47" s="53" t="inlineStr">
        <is>
          <t>044</t>
        </is>
      </c>
      <c r="C47" s="53" t="inlineStr">
        <is>
          <t>CONJOI</t>
        </is>
      </c>
      <c r="D47" s="45" t="n">
        <v>1164</v>
      </c>
      <c r="E47" s="45" t="n">
        <v>1164</v>
      </c>
    </row>
    <row r="48">
      <c r="A48" s="51" t="inlineStr">
        <is>
          <t>INSMAEERET</t>
        </is>
      </c>
      <c r="B48" s="53" t="inlineStr">
        <is>
          <t>044</t>
        </is>
      </c>
      <c r="C48" s="53" t="inlineStr">
        <is>
          <t>ENFANT</t>
        </is>
      </c>
      <c r="D48" s="45" t="n">
        <v>264</v>
      </c>
      <c r="E48" s="45" t="n">
        <v>264</v>
      </c>
    </row>
    <row r="49">
      <c r="A49" s="51" t="inlineStr">
        <is>
          <t>INSMALT001</t>
        </is>
      </c>
      <c r="B49" s="53" t="inlineStr">
        <is>
          <t>010</t>
        </is>
      </c>
      <c r="C49" s="53" t="inlineStr">
        <is>
          <t>ASSURE</t>
        </is>
      </c>
      <c r="D49" s="45" t="n">
        <v>22132</v>
      </c>
      <c r="E49" s="45" t="n">
        <v>22132</v>
      </c>
    </row>
    <row r="50">
      <c r="A50" s="51" t="inlineStr">
        <is>
          <t>INSMALT001</t>
        </is>
      </c>
      <c r="B50" s="53" t="inlineStr">
        <is>
          <t>010</t>
        </is>
      </c>
      <c r="C50" s="53" t="inlineStr">
        <is>
          <t>CONJOI</t>
        </is>
      </c>
      <c r="D50" s="45" t="n">
        <v>4111</v>
      </c>
      <c r="E50" s="45" t="n">
        <v>4111</v>
      </c>
    </row>
    <row r="51">
      <c r="A51" s="51" t="inlineStr">
        <is>
          <t>INSMALT001</t>
        </is>
      </c>
      <c r="B51" s="53" t="inlineStr">
        <is>
          <t>010</t>
        </is>
      </c>
      <c r="C51" s="53" t="inlineStr">
        <is>
          <t>ENFANT</t>
        </is>
      </c>
      <c r="D51" s="45" t="n">
        <v>570</v>
      </c>
      <c r="E51" s="45" t="n">
        <v>570</v>
      </c>
    </row>
    <row r="52">
      <c r="A52" s="51" t="inlineStr">
        <is>
          <t>INSMAS001</t>
        </is>
      </c>
      <c r="B52" s="53" t="inlineStr">
        <is>
          <t>010</t>
        </is>
      </c>
      <c r="C52" s="53" t="inlineStr">
        <is>
          <t>ASSURE</t>
        </is>
      </c>
      <c r="D52" s="45" t="n">
        <v>16</v>
      </c>
      <c r="E52" s="45" t="n">
        <v>16</v>
      </c>
    </row>
    <row r="53">
      <c r="A53" s="51" t="inlineStr">
        <is>
          <t>INSMAS001</t>
        </is>
      </c>
      <c r="B53" s="53" t="inlineStr">
        <is>
          <t>010</t>
        </is>
      </c>
      <c r="C53" s="53" t="inlineStr">
        <is>
          <t>CONJOI</t>
        </is>
      </c>
      <c r="D53" s="45" t="n">
        <v>3</v>
      </c>
      <c r="E53" s="45" t="n">
        <v>3</v>
      </c>
    </row>
    <row r="54">
      <c r="A54" s="51" t="inlineStr">
        <is>
          <t>INSMAS001</t>
        </is>
      </c>
      <c r="B54" s="53" t="inlineStr">
        <is>
          <t>010</t>
        </is>
      </c>
      <c r="C54" s="53" t="inlineStr">
        <is>
          <t>ENFANT</t>
        </is>
      </c>
      <c r="D54" s="45" t="n">
        <v>3</v>
      </c>
      <c r="E54" s="45" t="n">
        <v>3</v>
      </c>
    </row>
    <row r="55">
      <c r="A55" s="51" t="inlineStr">
        <is>
          <t>INSMIOM001</t>
        </is>
      </c>
      <c r="B55" s="53" t="inlineStr">
        <is>
          <t>010</t>
        </is>
      </c>
      <c r="C55" s="53" t="inlineStr">
        <is>
          <t>ASSURE</t>
        </is>
      </c>
      <c r="D55" s="45" t="n">
        <v>327</v>
      </c>
      <c r="E55" s="45" t="n">
        <v>334</v>
      </c>
    </row>
    <row r="56">
      <c r="A56" s="51" t="inlineStr">
        <is>
          <t>INSMIOM001</t>
        </is>
      </c>
      <c r="B56" s="53" t="inlineStr">
        <is>
          <t>010</t>
        </is>
      </c>
      <c r="C56" s="53" t="inlineStr">
        <is>
          <t>CONJOI</t>
        </is>
      </c>
      <c r="D56" s="45" t="n">
        <v>79</v>
      </c>
      <c r="E56" s="45" t="n">
        <v>80</v>
      </c>
    </row>
    <row r="57">
      <c r="A57" s="51" t="inlineStr">
        <is>
          <t>INSMIOM001</t>
        </is>
      </c>
      <c r="B57" s="53" t="inlineStr">
        <is>
          <t>010</t>
        </is>
      </c>
      <c r="C57" s="53" t="inlineStr">
        <is>
          <t>ENFANT</t>
        </is>
      </c>
      <c r="D57" s="45" t="n">
        <v>126</v>
      </c>
      <c r="E57" s="45" t="n">
        <v>128</v>
      </c>
    </row>
    <row r="58">
      <c r="A58" s="51" t="inlineStr">
        <is>
          <t>INSMTE0001</t>
        </is>
      </c>
      <c r="B58" s="53" t="inlineStr">
        <is>
          <t>010</t>
        </is>
      </c>
      <c r="C58" s="53" t="inlineStr">
        <is>
          <t>ASSURE</t>
        </is>
      </c>
      <c r="D58" s="45" t="n">
        <v>4484</v>
      </c>
      <c r="E58" s="45" t="n">
        <v>4484</v>
      </c>
    </row>
    <row r="59">
      <c r="A59" s="51" t="inlineStr">
        <is>
          <t>INSMTE0001</t>
        </is>
      </c>
      <c r="B59" s="53" t="inlineStr">
        <is>
          <t>010</t>
        </is>
      </c>
      <c r="C59" s="53" t="inlineStr">
        <is>
          <t>CONJOI</t>
        </is>
      </c>
      <c r="D59" s="45" t="n">
        <v>274</v>
      </c>
      <c r="E59" s="45" t="n">
        <v>274</v>
      </c>
    </row>
    <row r="60">
      <c r="A60" s="51" t="inlineStr">
        <is>
          <t>INSMTE0001</t>
        </is>
      </c>
      <c r="B60" s="53" t="inlineStr">
        <is>
          <t>010</t>
        </is>
      </c>
      <c r="C60" s="53" t="inlineStr">
        <is>
          <t>ENFANT</t>
        </is>
      </c>
      <c r="D60" s="45" t="n">
        <v>2517</v>
      </c>
      <c r="E60" s="45" t="n">
        <v>2517</v>
      </c>
    </row>
    <row r="61">
      <c r="A61" s="51" t="inlineStr">
        <is>
          <t>INSMTE1001</t>
        </is>
      </c>
      <c r="B61" s="53" t="inlineStr">
        <is>
          <t>010</t>
        </is>
      </c>
      <c r="C61" s="53" t="inlineStr">
        <is>
          <t>ASSURE</t>
        </is>
      </c>
      <c r="D61" s="45" t="n">
        <v>57</v>
      </c>
      <c r="E61" s="45" t="n">
        <v>57</v>
      </c>
    </row>
    <row r="62">
      <c r="A62" s="51" t="inlineStr">
        <is>
          <t>INSMTE1001</t>
        </is>
      </c>
      <c r="B62" s="53" t="inlineStr">
        <is>
          <t>010</t>
        </is>
      </c>
      <c r="C62" s="53" t="inlineStr">
        <is>
          <t>CONJOI</t>
        </is>
      </c>
      <c r="D62" s="45" t="n">
        <v>3</v>
      </c>
      <c r="E62" s="45" t="n">
        <v>3</v>
      </c>
    </row>
    <row r="63">
      <c r="A63" s="51" t="inlineStr">
        <is>
          <t>INSMTE1001</t>
        </is>
      </c>
      <c r="B63" s="53" t="inlineStr">
        <is>
          <t>010</t>
        </is>
      </c>
      <c r="C63" s="53" t="inlineStr">
        <is>
          <t>ENFANT</t>
        </is>
      </c>
      <c r="D63" s="45" t="n">
        <v>5</v>
      </c>
      <c r="E63" s="45" t="n">
        <v>5</v>
      </c>
    </row>
    <row r="64">
      <c r="A64" s="51" t="inlineStr">
        <is>
          <t>MEPCULT003</t>
        </is>
      </c>
      <c r="B64" s="53" t="inlineStr">
        <is>
          <t>010</t>
        </is>
      </c>
      <c r="C64" s="53" t="inlineStr">
        <is>
          <t>ASSURE</t>
        </is>
      </c>
      <c r="D64" s="45" t="n">
        <v>842</v>
      </c>
      <c r="E64" s="45" t="n">
        <v>854</v>
      </c>
    </row>
    <row r="65">
      <c r="A65" s="51" t="inlineStr">
        <is>
          <t>MEPMAS001</t>
        </is>
      </c>
      <c r="B65" s="53" t="inlineStr">
        <is>
          <t>073</t>
        </is>
      </c>
      <c r="C65" s="53" t="inlineStr">
        <is>
          <t>ASSURE</t>
        </is>
      </c>
      <c r="D65" s="45" t="n">
        <v>799</v>
      </c>
      <c r="E65" s="45" t="n">
        <v>812</v>
      </c>
    </row>
    <row r="66">
      <c r="A66" s="51" t="inlineStr">
        <is>
          <t>MEPMEAE001</t>
        </is>
      </c>
      <c r="B66" s="53" t="inlineStr">
        <is>
          <t>010</t>
        </is>
      </c>
      <c r="C66" s="53" t="inlineStr">
        <is>
          <t>ASSURE</t>
        </is>
      </c>
      <c r="D66" s="45" t="n">
        <v>454</v>
      </c>
      <c r="E66" s="45" t="n">
        <v>459</v>
      </c>
    </row>
    <row r="67">
      <c r="A67" s="51" t="inlineStr">
        <is>
          <t>MEPMEAT002</t>
        </is>
      </c>
      <c r="B67" s="53" t="inlineStr">
        <is>
          <t>010</t>
        </is>
      </c>
      <c r="C67" s="53" t="inlineStr">
        <is>
          <t>ASSURE</t>
        </is>
      </c>
      <c r="D67" s="45" t="n">
        <v>835</v>
      </c>
      <c r="E67" s="45" t="n">
        <v>853</v>
      </c>
    </row>
    <row r="68">
      <c r="A68" s="51" t="inlineStr">
        <is>
          <t>MEPMENP002</t>
        </is>
      </c>
      <c r="B68" s="53" t="inlineStr">
        <is>
          <t>010</t>
        </is>
      </c>
      <c r="C68" s="53" t="inlineStr">
        <is>
          <t>ASSURE</t>
        </is>
      </c>
      <c r="D68" s="45" t="n">
        <v>91316</v>
      </c>
      <c r="E68" s="45" t="n">
        <v>96052</v>
      </c>
    </row>
    <row r="69">
      <c r="A69" s="51" t="inlineStr">
        <is>
          <t>MEPMENP201</t>
        </is>
      </c>
      <c r="B69" s="53" t="inlineStr">
        <is>
          <t>010</t>
        </is>
      </c>
      <c r="C69" s="53" t="inlineStr">
        <is>
          <t>ASSURE</t>
        </is>
      </c>
      <c r="D69" s="45" t="n">
        <v>263</v>
      </c>
      <c r="E69" s="45" t="n">
        <v>274</v>
      </c>
    </row>
    <row r="70">
      <c r="A70" s="51" t="inlineStr">
        <is>
          <t>MESAPEI002</t>
        </is>
      </c>
      <c r="B70" s="53" t="inlineStr">
        <is>
          <t>052</t>
        </is>
      </c>
      <c r="C70" s="53" t="inlineStr">
        <is>
          <t>ASSURE</t>
        </is>
      </c>
      <c r="D70" s="45" t="n">
        <v>449</v>
      </c>
      <c r="E70" s="45" t="n">
        <v>449</v>
      </c>
    </row>
    <row r="71">
      <c r="A71" s="51" t="inlineStr">
        <is>
          <t>MESAPEI002</t>
        </is>
      </c>
      <c r="B71" s="53" t="inlineStr">
        <is>
          <t>052</t>
        </is>
      </c>
      <c r="C71" s="53" t="inlineStr">
        <is>
          <t>CONJOI</t>
        </is>
      </c>
      <c r="D71" s="45" t="n">
        <v>80</v>
      </c>
      <c r="E71" s="45" t="n">
        <v>80</v>
      </c>
    </row>
    <row r="72">
      <c r="A72" s="51" t="inlineStr">
        <is>
          <t>MESAPEI002</t>
        </is>
      </c>
      <c r="B72" s="53" t="inlineStr">
        <is>
          <t>052</t>
        </is>
      </c>
      <c r="C72" s="53" t="inlineStr">
        <is>
          <t>ENFANT</t>
        </is>
      </c>
      <c r="D72" s="45" t="n">
        <v>192</v>
      </c>
      <c r="E72" s="45" t="n">
        <v>193</v>
      </c>
    </row>
    <row r="73">
      <c r="A73" s="51" t="inlineStr">
        <is>
          <t>MESBGTL004</t>
        </is>
      </c>
      <c r="B73" s="53" t="inlineStr">
        <is>
          <t>052</t>
        </is>
      </c>
      <c r="C73" s="53" t="inlineStr">
        <is>
          <t>ASSURE</t>
        </is>
      </c>
      <c r="D73" s="45" t="n">
        <v>1418</v>
      </c>
      <c r="E73" s="45" t="n">
        <v>1418</v>
      </c>
    </row>
    <row r="74">
      <c r="A74" s="51" t="inlineStr">
        <is>
          <t>MESBGTL004</t>
        </is>
      </c>
      <c r="B74" s="53" t="inlineStr">
        <is>
          <t>052</t>
        </is>
      </c>
      <c r="C74" s="53" t="inlineStr">
        <is>
          <t>CONJOI</t>
        </is>
      </c>
      <c r="D74" s="45" t="n">
        <v>269</v>
      </c>
      <c r="E74" s="45" t="n">
        <v>269</v>
      </c>
    </row>
    <row r="75">
      <c r="A75" s="51" t="inlineStr">
        <is>
          <t>MESBGTL004</t>
        </is>
      </c>
      <c r="B75" s="53" t="inlineStr">
        <is>
          <t>052</t>
        </is>
      </c>
      <c r="C75" s="53" t="inlineStr">
        <is>
          <t>ENFANT</t>
        </is>
      </c>
      <c r="D75" s="45" t="n">
        <v>648</v>
      </c>
      <c r="E75" s="45" t="n">
        <v>649</v>
      </c>
    </row>
    <row r="76">
      <c r="A76" s="51" t="inlineStr">
        <is>
          <t>MESBSRT002</t>
        </is>
      </c>
      <c r="B76" s="53" t="inlineStr">
        <is>
          <t>052</t>
        </is>
      </c>
      <c r="C76" s="53" t="inlineStr">
        <is>
          <t>ASSURE</t>
        </is>
      </c>
      <c r="D76" s="45" t="n">
        <v>106</v>
      </c>
      <c r="E76" s="45" t="n">
        <v>106</v>
      </c>
    </row>
    <row r="77">
      <c r="A77" s="51" t="inlineStr">
        <is>
          <t>MESBSRT002</t>
        </is>
      </c>
      <c r="B77" s="53" t="inlineStr">
        <is>
          <t>052</t>
        </is>
      </c>
      <c r="C77" s="53" t="inlineStr">
        <is>
          <t>CONJOI</t>
        </is>
      </c>
      <c r="D77" s="45" t="n">
        <v>37</v>
      </c>
      <c r="E77" s="45" t="n">
        <v>37</v>
      </c>
    </row>
    <row r="78">
      <c r="A78" s="51" t="inlineStr">
        <is>
          <t>MESCULT002</t>
        </is>
      </c>
      <c r="B78" s="53" t="inlineStr">
        <is>
          <t>010</t>
        </is>
      </c>
      <c r="C78" s="53" t="inlineStr">
        <is>
          <t>ASSURE</t>
        </is>
      </c>
      <c r="D78" s="45" t="n">
        <v>20212</v>
      </c>
      <c r="E78" s="45" t="n">
        <v>20224</v>
      </c>
    </row>
    <row r="79">
      <c r="A79" s="51" t="inlineStr">
        <is>
          <t>MESCULT002</t>
        </is>
      </c>
      <c r="B79" s="53" t="inlineStr">
        <is>
          <t>010</t>
        </is>
      </c>
      <c r="C79" s="53" t="inlineStr">
        <is>
          <t>CONJOI</t>
        </is>
      </c>
      <c r="D79" s="45" t="n">
        <v>1687</v>
      </c>
      <c r="E79" s="45" t="n">
        <v>1697</v>
      </c>
    </row>
    <row r="80">
      <c r="A80" s="51" t="inlineStr">
        <is>
          <t>MESCULT002</t>
        </is>
      </c>
      <c r="B80" s="53" t="inlineStr">
        <is>
          <t>010</t>
        </is>
      </c>
      <c r="C80" s="53" t="inlineStr">
        <is>
          <t>ENFANT</t>
        </is>
      </c>
      <c r="D80" s="45" t="n">
        <v>6393</v>
      </c>
      <c r="E80" s="45" t="n">
        <v>6417</v>
      </c>
    </row>
    <row r="81">
      <c r="A81" s="51" t="inlineStr">
        <is>
          <t>MESCULT101</t>
        </is>
      </c>
      <c r="B81" s="53" t="inlineStr">
        <is>
          <t>010</t>
        </is>
      </c>
      <c r="C81" s="53" t="inlineStr">
        <is>
          <t>ASSURE</t>
        </is>
      </c>
      <c r="D81" s="45" t="n">
        <v>7</v>
      </c>
      <c r="E81" s="45" t="n">
        <v>7</v>
      </c>
    </row>
    <row r="82">
      <c r="A82" s="51" t="inlineStr">
        <is>
          <t>MESCULT101</t>
        </is>
      </c>
      <c r="B82" s="53" t="inlineStr">
        <is>
          <t>010</t>
        </is>
      </c>
      <c r="C82" s="53" t="inlineStr">
        <is>
          <t>ENFANT</t>
        </is>
      </c>
      <c r="D82" s="45" t="n">
        <v>4</v>
      </c>
      <c r="E82" s="45" t="n">
        <v>4</v>
      </c>
    </row>
    <row r="83">
      <c r="A83" s="51" t="inlineStr">
        <is>
          <t>MESERASMUS</t>
        </is>
      </c>
      <c r="B83" s="53" t="inlineStr">
        <is>
          <t>052</t>
        </is>
      </c>
      <c r="C83" s="53" t="inlineStr">
        <is>
          <t>ASSURE</t>
        </is>
      </c>
      <c r="D83" s="45" t="n">
        <v>318</v>
      </c>
      <c r="E83" s="45" t="n">
        <v>319</v>
      </c>
    </row>
    <row r="84">
      <c r="A84" s="51" t="inlineStr">
        <is>
          <t>MESERASMUS</t>
        </is>
      </c>
      <c r="B84" s="53" t="inlineStr">
        <is>
          <t>052</t>
        </is>
      </c>
      <c r="C84" s="53" t="inlineStr">
        <is>
          <t>CONJOI</t>
        </is>
      </c>
      <c r="D84" s="45" t="n">
        <v>29</v>
      </c>
      <c r="E84" s="45" t="n">
        <v>29</v>
      </c>
    </row>
    <row r="85">
      <c r="A85" s="51" t="inlineStr">
        <is>
          <t>MESERASMUS</t>
        </is>
      </c>
      <c r="B85" s="53" t="inlineStr">
        <is>
          <t>052</t>
        </is>
      </c>
      <c r="C85" s="53" t="inlineStr">
        <is>
          <t>ENFANT</t>
        </is>
      </c>
      <c r="D85" s="45" t="n">
        <v>110</v>
      </c>
      <c r="E85" s="45" t="n">
        <v>110</v>
      </c>
    </row>
    <row r="86">
      <c r="A86" s="51" t="inlineStr">
        <is>
          <t>MESESEA001</t>
        </is>
      </c>
      <c r="B86" s="53" t="inlineStr">
        <is>
          <t>052</t>
        </is>
      </c>
      <c r="C86" s="53" t="inlineStr">
        <is>
          <t>ASSURE</t>
        </is>
      </c>
      <c r="D86" s="45" t="n">
        <v>103</v>
      </c>
      <c r="E86" s="45" t="n">
        <v>104</v>
      </c>
    </row>
    <row r="87">
      <c r="A87" s="51" t="inlineStr">
        <is>
          <t>MESESEA001</t>
        </is>
      </c>
      <c r="B87" s="53" t="inlineStr">
        <is>
          <t>052</t>
        </is>
      </c>
      <c r="C87" s="53" t="inlineStr">
        <is>
          <t>CONJOI</t>
        </is>
      </c>
      <c r="D87" s="45" t="n">
        <v>10</v>
      </c>
      <c r="E87" s="45" t="n">
        <v>10</v>
      </c>
    </row>
    <row r="88">
      <c r="A88" s="51" t="inlineStr">
        <is>
          <t>MESESEA001</t>
        </is>
      </c>
      <c r="B88" s="53" t="inlineStr">
        <is>
          <t>052</t>
        </is>
      </c>
      <c r="C88" s="53" t="inlineStr">
        <is>
          <t>ENFANT</t>
        </is>
      </c>
      <c r="D88" s="45" t="n">
        <v>37</v>
      </c>
      <c r="E88" s="45" t="n">
        <v>37</v>
      </c>
    </row>
    <row r="89">
      <c r="A89" s="51" t="inlineStr">
        <is>
          <t>MESFRVL001</t>
        </is>
      </c>
      <c r="B89" s="53" t="inlineStr">
        <is>
          <t>052</t>
        </is>
      </c>
      <c r="C89" s="53" t="inlineStr">
        <is>
          <t>ASSURE</t>
        </is>
      </c>
      <c r="D89" s="45" t="n">
        <v>47</v>
      </c>
      <c r="E89" s="45" t="n">
        <v>47</v>
      </c>
    </row>
    <row r="90">
      <c r="A90" s="51" t="inlineStr">
        <is>
          <t>MESFRVL001</t>
        </is>
      </c>
      <c r="B90" s="53" t="inlineStr">
        <is>
          <t>052</t>
        </is>
      </c>
      <c r="C90" s="53" t="inlineStr">
        <is>
          <t>CONJOI</t>
        </is>
      </c>
      <c r="D90" s="45" t="n">
        <v>18</v>
      </c>
      <c r="E90" s="45" t="n">
        <v>18</v>
      </c>
    </row>
    <row r="91">
      <c r="A91" s="51" t="inlineStr">
        <is>
          <t>MESFRVL001</t>
        </is>
      </c>
      <c r="B91" s="53" t="inlineStr">
        <is>
          <t>052</t>
        </is>
      </c>
      <c r="C91" s="53" t="inlineStr">
        <is>
          <t>ENFANT</t>
        </is>
      </c>
      <c r="D91" s="45" t="n">
        <v>35</v>
      </c>
      <c r="E91" s="45" t="n">
        <v>35</v>
      </c>
    </row>
    <row r="92">
      <c r="A92" s="51" t="inlineStr">
        <is>
          <t>MESGMMS004</t>
        </is>
      </c>
      <c r="B92" s="53" t="inlineStr">
        <is>
          <t>052</t>
        </is>
      </c>
      <c r="C92" s="53" t="inlineStr">
        <is>
          <t>ASSURE</t>
        </is>
      </c>
      <c r="D92" s="45" t="n">
        <v>406</v>
      </c>
      <c r="E92" s="45" t="n">
        <v>408</v>
      </c>
    </row>
    <row r="93">
      <c r="A93" s="51" t="inlineStr">
        <is>
          <t>MESGMMS004</t>
        </is>
      </c>
      <c r="B93" s="53" t="inlineStr">
        <is>
          <t>052</t>
        </is>
      </c>
      <c r="C93" s="53" t="inlineStr">
        <is>
          <t>CONJOI</t>
        </is>
      </c>
      <c r="D93" s="45" t="n">
        <v>34</v>
      </c>
      <c r="E93" s="45" t="n">
        <v>35</v>
      </c>
    </row>
    <row r="94">
      <c r="A94" s="51" t="inlineStr">
        <is>
          <t>MESGMMS004</t>
        </is>
      </c>
      <c r="B94" s="53" t="inlineStr">
        <is>
          <t>052</t>
        </is>
      </c>
      <c r="C94" s="53" t="inlineStr">
        <is>
          <t>ENFANT</t>
        </is>
      </c>
      <c r="D94" s="45" t="n">
        <v>154</v>
      </c>
      <c r="E94" s="45" t="n">
        <v>155</v>
      </c>
    </row>
    <row r="95">
      <c r="A95" s="51" t="inlineStr">
        <is>
          <t>MESINOV003</t>
        </is>
      </c>
      <c r="B95" s="53" t="inlineStr">
        <is>
          <t>052</t>
        </is>
      </c>
      <c r="C95" s="53" t="inlineStr">
        <is>
          <t>ASSURE</t>
        </is>
      </c>
      <c r="D95" s="45" t="n">
        <v>258</v>
      </c>
      <c r="E95" s="45" t="n">
        <v>258</v>
      </c>
    </row>
    <row r="96">
      <c r="A96" s="51" t="inlineStr">
        <is>
          <t>MESINOV003</t>
        </is>
      </c>
      <c r="B96" s="53" t="inlineStr">
        <is>
          <t>052</t>
        </is>
      </c>
      <c r="C96" s="53" t="inlineStr">
        <is>
          <t>CONJOI</t>
        </is>
      </c>
      <c r="D96" s="45" t="n">
        <v>26</v>
      </c>
      <c r="E96" s="45" t="n">
        <v>26</v>
      </c>
    </row>
    <row r="97">
      <c r="A97" s="51" t="inlineStr">
        <is>
          <t>MESINOV003</t>
        </is>
      </c>
      <c r="B97" s="53" t="inlineStr">
        <is>
          <t>052</t>
        </is>
      </c>
      <c r="C97" s="53" t="inlineStr">
        <is>
          <t>ENFANT</t>
        </is>
      </c>
      <c r="D97" s="45" t="n">
        <v>92</v>
      </c>
      <c r="E97" s="45" t="n">
        <v>93</v>
      </c>
    </row>
    <row r="98">
      <c r="A98" s="51" t="inlineStr">
        <is>
          <t>MESJUAD002</t>
        </is>
      </c>
      <c r="B98" s="53" t="inlineStr">
        <is>
          <t>010</t>
        </is>
      </c>
      <c r="C98" s="53" t="inlineStr">
        <is>
          <t>ASSURE</t>
        </is>
      </c>
      <c r="D98" s="45" t="n">
        <v>3100</v>
      </c>
      <c r="E98" s="45" t="n">
        <v>3113</v>
      </c>
    </row>
    <row r="99">
      <c r="A99" s="51" t="inlineStr">
        <is>
          <t>MESJUAD002</t>
        </is>
      </c>
      <c r="B99" s="53" t="inlineStr">
        <is>
          <t>010</t>
        </is>
      </c>
      <c r="C99" s="53" t="inlineStr">
        <is>
          <t>CONJOI</t>
        </is>
      </c>
      <c r="D99" s="45" t="n">
        <v>298</v>
      </c>
      <c r="E99" s="45" t="n">
        <v>299</v>
      </c>
    </row>
    <row r="100">
      <c r="A100" s="51" t="inlineStr">
        <is>
          <t>MESJUAD002</t>
        </is>
      </c>
      <c r="B100" s="53" t="inlineStr">
        <is>
          <t>010</t>
        </is>
      </c>
      <c r="C100" s="53" t="inlineStr">
        <is>
          <t>ENFANT</t>
        </is>
      </c>
      <c r="D100" s="45" t="n">
        <v>1217</v>
      </c>
      <c r="E100" s="45" t="n">
        <v>1226</v>
      </c>
    </row>
    <row r="101">
      <c r="A101" s="51" t="inlineStr">
        <is>
          <t>MESJUAM005</t>
        </is>
      </c>
      <c r="B101" s="53" t="inlineStr">
        <is>
          <t>010</t>
        </is>
      </c>
      <c r="C101" s="53" t="inlineStr">
        <is>
          <t>ASSURE</t>
        </is>
      </c>
      <c r="D101" s="45" t="n">
        <v>4</v>
      </c>
      <c r="E101" s="45" t="n">
        <v>4</v>
      </c>
    </row>
    <row r="102">
      <c r="A102" s="51" t="inlineStr">
        <is>
          <t>MESJUAM005</t>
        </is>
      </c>
      <c r="B102" s="53" t="inlineStr">
        <is>
          <t>010</t>
        </is>
      </c>
      <c r="C102" s="53" t="inlineStr">
        <is>
          <t>ENFANT</t>
        </is>
      </c>
      <c r="D102" s="45" t="n">
        <v>2</v>
      </c>
      <c r="E102" s="45" t="n">
        <v>2</v>
      </c>
    </row>
    <row r="103">
      <c r="A103" s="51" t="inlineStr">
        <is>
          <t>MESLAD46</t>
        </is>
      </c>
      <c r="B103" s="53" t="inlineStr">
        <is>
          <t>052</t>
        </is>
      </c>
      <c r="C103" s="53" t="inlineStr">
        <is>
          <t>ASSURE</t>
        </is>
      </c>
      <c r="D103" s="45" t="n">
        <v>596</v>
      </c>
      <c r="E103" s="45" t="n">
        <v>596</v>
      </c>
    </row>
    <row r="104">
      <c r="A104" s="51" t="inlineStr">
        <is>
          <t>MESLAD46</t>
        </is>
      </c>
      <c r="B104" s="53" t="inlineStr">
        <is>
          <t>052</t>
        </is>
      </c>
      <c r="C104" s="53" t="inlineStr">
        <is>
          <t>CONJOI</t>
        </is>
      </c>
      <c r="D104" s="45" t="n">
        <v>69</v>
      </c>
      <c r="E104" s="45" t="n">
        <v>69</v>
      </c>
    </row>
    <row r="105">
      <c r="A105" s="51" t="inlineStr">
        <is>
          <t>MESLAD46</t>
        </is>
      </c>
      <c r="B105" s="53" t="inlineStr">
        <is>
          <t>052</t>
        </is>
      </c>
      <c r="C105" s="53" t="inlineStr">
        <is>
          <t>ENFANT</t>
        </is>
      </c>
      <c r="D105" s="45" t="n">
        <v>181</v>
      </c>
      <c r="E105" s="45" t="n">
        <v>181</v>
      </c>
    </row>
    <row r="106">
      <c r="A106" s="51" t="inlineStr">
        <is>
          <t>MESMEAE102</t>
        </is>
      </c>
      <c r="B106" s="53" t="inlineStr">
        <is>
          <t>044</t>
        </is>
      </c>
      <c r="C106" s="53" t="inlineStr">
        <is>
          <t>ASSURE</t>
        </is>
      </c>
      <c r="D106" s="45" t="n">
        <v>8511</v>
      </c>
      <c r="E106" s="45" t="n">
        <v>9198</v>
      </c>
    </row>
    <row r="107">
      <c r="A107" s="51" t="inlineStr">
        <is>
          <t>MESMEAE102</t>
        </is>
      </c>
      <c r="B107" s="53" t="inlineStr">
        <is>
          <t>044</t>
        </is>
      </c>
      <c r="C107" s="53" t="inlineStr">
        <is>
          <t>CONJOI</t>
        </is>
      </c>
      <c r="D107" s="45" t="n">
        <v>2192</v>
      </c>
      <c r="E107" s="45" t="n">
        <v>2369</v>
      </c>
    </row>
    <row r="108">
      <c r="A108" s="51" t="inlineStr">
        <is>
          <t>MESMEAE102</t>
        </is>
      </c>
      <c r="B108" s="53" t="inlineStr">
        <is>
          <t>044</t>
        </is>
      </c>
      <c r="C108" s="53" t="inlineStr">
        <is>
          <t>ENFANT</t>
        </is>
      </c>
      <c r="D108" s="45" t="n">
        <v>5652</v>
      </c>
      <c r="E108" s="45" t="n">
        <v>6028</v>
      </c>
    </row>
    <row r="109">
      <c r="A109" s="51" t="inlineStr">
        <is>
          <t>MESMEAE202</t>
        </is>
      </c>
      <c r="B109" s="53" t="inlineStr">
        <is>
          <t>044</t>
        </is>
      </c>
      <c r="C109" s="53" t="inlineStr">
        <is>
          <t>ASSURE</t>
        </is>
      </c>
      <c r="D109" s="45" t="n">
        <v>4103</v>
      </c>
      <c r="E109" s="45" t="n">
        <v>4288</v>
      </c>
    </row>
    <row r="110">
      <c r="A110" s="51" t="inlineStr">
        <is>
          <t>MESMEAE202</t>
        </is>
      </c>
      <c r="B110" s="53" t="inlineStr">
        <is>
          <t>044</t>
        </is>
      </c>
      <c r="C110" s="53" t="inlineStr">
        <is>
          <t>CONJOI</t>
        </is>
      </c>
      <c r="D110" s="45" t="n">
        <v>572</v>
      </c>
      <c r="E110" s="45" t="n">
        <v>607</v>
      </c>
    </row>
    <row r="111">
      <c r="A111" s="51" t="inlineStr">
        <is>
          <t>MESMEAE202</t>
        </is>
      </c>
      <c r="B111" s="53" t="inlineStr">
        <is>
          <t>044</t>
        </is>
      </c>
      <c r="C111" s="53" t="inlineStr">
        <is>
          <t>ENFANT</t>
        </is>
      </c>
      <c r="D111" s="45" t="n">
        <v>1638</v>
      </c>
      <c r="E111" s="45" t="n">
        <v>1706</v>
      </c>
    </row>
    <row r="112">
      <c r="A112" s="51" t="inlineStr">
        <is>
          <t>MESMEAE301</t>
        </is>
      </c>
      <c r="B112" s="53" t="inlineStr">
        <is>
          <t>044</t>
        </is>
      </c>
      <c r="C112" s="53" t="inlineStr">
        <is>
          <t>ASSURE</t>
        </is>
      </c>
      <c r="D112" s="45" t="n">
        <v>1</v>
      </c>
      <c r="E112" s="45" t="n">
        <v>1</v>
      </c>
    </row>
    <row r="113">
      <c r="A113" s="51" t="inlineStr">
        <is>
          <t>MESMEN001</t>
        </is>
      </c>
      <c r="B113" s="53" t="inlineStr">
        <is>
          <t>010</t>
        </is>
      </c>
      <c r="C113" s="53" t="inlineStr">
        <is>
          <t>ASCEND</t>
        </is>
      </c>
      <c r="D113" s="45" t="n">
        <v>1</v>
      </c>
      <c r="E113" s="45" t="n">
        <v>1</v>
      </c>
    </row>
    <row r="114">
      <c r="A114" s="51" t="inlineStr">
        <is>
          <t>MESMEN001</t>
        </is>
      </c>
      <c r="B114" s="53" t="inlineStr">
        <is>
          <t>010</t>
        </is>
      </c>
      <c r="C114" s="53" t="inlineStr">
        <is>
          <t>ASSURE</t>
        </is>
      </c>
      <c r="D114" s="45" t="n">
        <v>1212393</v>
      </c>
      <c r="E114" s="45" t="n">
        <v>1213928</v>
      </c>
    </row>
    <row r="115">
      <c r="A115" s="51" t="inlineStr">
        <is>
          <t>MESMEN001</t>
        </is>
      </c>
      <c r="B115" s="53" t="inlineStr">
        <is>
          <t>010</t>
        </is>
      </c>
      <c r="C115" s="53" t="inlineStr">
        <is>
          <t>CONJOI</t>
        </is>
      </c>
      <c r="D115" s="45" t="n">
        <v>62560</v>
      </c>
      <c r="E115" s="45" t="n">
        <v>63273</v>
      </c>
    </row>
    <row r="116">
      <c r="A116" s="51" t="inlineStr">
        <is>
          <t>MESMEN001</t>
        </is>
      </c>
      <c r="B116" s="53" t="inlineStr">
        <is>
          <t>010</t>
        </is>
      </c>
      <c r="C116" s="53" t="inlineStr">
        <is>
          <t>ENFANT</t>
        </is>
      </c>
      <c r="D116" s="45" t="n">
        <v>556324</v>
      </c>
      <c r="E116" s="45" t="n">
        <v>559896</v>
      </c>
    </row>
    <row r="117">
      <c r="A117" s="51" t="inlineStr">
        <is>
          <t>MESMEN2003</t>
        </is>
      </c>
      <c r="B117" s="53" t="inlineStr">
        <is>
          <t>010</t>
        </is>
      </c>
      <c r="C117" s="53" t="inlineStr">
        <is>
          <t>ASSURE</t>
        </is>
      </c>
      <c r="D117" s="45" t="n">
        <v>4215</v>
      </c>
      <c r="E117" s="45" t="n">
        <v>4215</v>
      </c>
    </row>
    <row r="118">
      <c r="A118" s="51" t="inlineStr">
        <is>
          <t>MESMEN2003</t>
        </is>
      </c>
      <c r="B118" s="53" t="inlineStr">
        <is>
          <t>010</t>
        </is>
      </c>
      <c r="C118" s="53" t="inlineStr">
        <is>
          <t>CONJOI</t>
        </is>
      </c>
      <c r="D118" s="45" t="n">
        <v>628</v>
      </c>
      <c r="E118" s="45" t="n">
        <v>631</v>
      </c>
    </row>
    <row r="119">
      <c r="A119" s="51" t="inlineStr">
        <is>
          <t>MESMEN2003</t>
        </is>
      </c>
      <c r="B119" s="53" t="inlineStr">
        <is>
          <t>010</t>
        </is>
      </c>
      <c r="C119" s="53" t="inlineStr">
        <is>
          <t>ENFANT</t>
        </is>
      </c>
      <c r="D119" s="45" t="n">
        <v>2270</v>
      </c>
      <c r="E119" s="45" t="n">
        <v>2277</v>
      </c>
    </row>
    <row r="120">
      <c r="A120" s="51" t="inlineStr">
        <is>
          <t>MESMEN3001</t>
        </is>
      </c>
      <c r="B120" s="53" t="inlineStr">
        <is>
          <t>010</t>
        </is>
      </c>
      <c r="C120" s="53" t="inlineStr">
        <is>
          <t>ASSURE</t>
        </is>
      </c>
      <c r="D120" s="45" t="n">
        <v>743</v>
      </c>
      <c r="E120" s="45" t="n">
        <v>744</v>
      </c>
    </row>
    <row r="121">
      <c r="A121" s="51" t="inlineStr">
        <is>
          <t>MESMEN3001</t>
        </is>
      </c>
      <c r="B121" s="53" t="inlineStr">
        <is>
          <t>010</t>
        </is>
      </c>
      <c r="C121" s="53" t="inlineStr">
        <is>
          <t>CONJOI</t>
        </is>
      </c>
      <c r="D121" s="45" t="n">
        <v>139</v>
      </c>
      <c r="E121" s="45" t="n">
        <v>141</v>
      </c>
    </row>
    <row r="122">
      <c r="A122" s="51" t="inlineStr">
        <is>
          <t>MESMEN3001</t>
        </is>
      </c>
      <c r="B122" s="53" t="inlineStr">
        <is>
          <t>010</t>
        </is>
      </c>
      <c r="C122" s="53" t="inlineStr">
        <is>
          <t>ENFANT</t>
        </is>
      </c>
      <c r="D122" s="45" t="n">
        <v>408</v>
      </c>
      <c r="E122" s="45" t="n">
        <v>413</v>
      </c>
    </row>
    <row r="123">
      <c r="A123" s="51" t="inlineStr">
        <is>
          <t>MESMNTSALA</t>
        </is>
      </c>
      <c r="B123" s="53" t="inlineStr">
        <is>
          <t>052</t>
        </is>
      </c>
      <c r="C123" s="53" t="inlineStr">
        <is>
          <t>ASSURE</t>
        </is>
      </c>
      <c r="D123" s="45" t="n">
        <v>1090</v>
      </c>
      <c r="E123" s="45" t="n">
        <v>1090</v>
      </c>
    </row>
    <row r="124">
      <c r="A124" s="51" t="inlineStr">
        <is>
          <t>MESMNTSALA</t>
        </is>
      </c>
      <c r="B124" s="53" t="inlineStr">
        <is>
          <t>052</t>
        </is>
      </c>
      <c r="C124" s="53" t="inlineStr">
        <is>
          <t>CONJOI</t>
        </is>
      </c>
      <c r="D124" s="45" t="n">
        <v>145</v>
      </c>
      <c r="E124" s="45" t="n">
        <v>145</v>
      </c>
    </row>
    <row r="125">
      <c r="A125" s="51" t="inlineStr">
        <is>
          <t>MESMNTSALA</t>
        </is>
      </c>
      <c r="B125" s="53" t="inlineStr">
        <is>
          <t>052</t>
        </is>
      </c>
      <c r="C125" s="53" t="inlineStr">
        <is>
          <t>ENFANT</t>
        </is>
      </c>
      <c r="D125" s="45" t="n">
        <v>475</v>
      </c>
      <c r="E125" s="45" t="n">
        <v>475</v>
      </c>
    </row>
    <row r="126">
      <c r="A126" s="51" t="inlineStr">
        <is>
          <t>MESMUTFR31</t>
        </is>
      </c>
      <c r="B126" s="53" t="inlineStr">
        <is>
          <t>052</t>
        </is>
      </c>
      <c r="C126" s="53" t="inlineStr">
        <is>
          <t>ASSURE</t>
        </is>
      </c>
      <c r="D126" s="45" t="n">
        <v>563</v>
      </c>
      <c r="E126" s="45" t="n">
        <v>566</v>
      </c>
    </row>
    <row r="127">
      <c r="A127" s="51" t="inlineStr">
        <is>
          <t>MESMUTFR31</t>
        </is>
      </c>
      <c r="B127" s="53" t="inlineStr">
        <is>
          <t>052</t>
        </is>
      </c>
      <c r="C127" s="53" t="inlineStr">
        <is>
          <t>CONJOI</t>
        </is>
      </c>
      <c r="D127" s="45" t="n">
        <v>214</v>
      </c>
      <c r="E127" s="45" t="n">
        <v>215</v>
      </c>
    </row>
    <row r="128">
      <c r="A128" s="51" t="inlineStr">
        <is>
          <t>MESMUTFR31</t>
        </is>
      </c>
      <c r="B128" s="53" t="inlineStr">
        <is>
          <t>052</t>
        </is>
      </c>
      <c r="C128" s="53" t="inlineStr">
        <is>
          <t>ENFANT</t>
        </is>
      </c>
      <c r="D128" s="45" t="n">
        <v>406</v>
      </c>
      <c r="E128" s="45" t="n">
        <v>407</v>
      </c>
    </row>
    <row r="129">
      <c r="A129" s="51" t="inlineStr">
        <is>
          <t>OFFSUP</t>
        </is>
      </c>
      <c r="B129" s="53" t="inlineStr">
        <is>
          <t>052</t>
        </is>
      </c>
      <c r="C129" s="53" t="inlineStr">
        <is>
          <t>ASSURE</t>
        </is>
      </c>
      <c r="D129" s="45" t="n">
        <v>2</v>
      </c>
      <c r="E129" s="45" t="n">
        <v>2</v>
      </c>
    </row>
    <row r="130">
      <c r="A130" s="51" t="inlineStr">
        <is>
          <t>STSNUANCE</t>
        </is>
      </c>
      <c r="B130" s="53" t="inlineStr">
        <is>
          <t>010</t>
        </is>
      </c>
      <c r="C130" s="53" t="inlineStr">
        <is>
          <t>ASCEND</t>
        </is>
      </c>
      <c r="D130" s="45" t="n">
        <v>1</v>
      </c>
      <c r="E130" s="45" t="n">
        <v>1</v>
      </c>
    </row>
    <row r="131">
      <c r="A131" s="51" t="inlineStr">
        <is>
          <t>STSNUANCE</t>
        </is>
      </c>
      <c r="B131" s="53" t="inlineStr">
        <is>
          <t>010</t>
        </is>
      </c>
      <c r="C131" s="53" t="inlineStr">
        <is>
          <t>ASSURE</t>
        </is>
      </c>
      <c r="D131" s="45" t="n">
        <v>110</v>
      </c>
      <c r="E131" s="45" t="n">
        <v>111</v>
      </c>
    </row>
    <row r="132">
      <c r="A132" s="51" t="inlineStr">
        <is>
          <t>STSNUANCE</t>
        </is>
      </c>
      <c r="B132" s="53" t="inlineStr">
        <is>
          <t>010</t>
        </is>
      </c>
      <c r="C132" s="53" t="inlineStr">
        <is>
          <t>CONJOI</t>
        </is>
      </c>
      <c r="D132" s="45" t="n">
        <v>55</v>
      </c>
      <c r="E132" s="45" t="n">
        <v>55</v>
      </c>
    </row>
    <row r="133">
      <c r="A133" s="51" t="inlineStr">
        <is>
          <t>STSNUANCE</t>
        </is>
      </c>
      <c r="B133" s="53" t="inlineStr">
        <is>
          <t>010</t>
        </is>
      </c>
      <c r="C133" s="53" t="inlineStr">
        <is>
          <t>ENFANT</t>
        </is>
      </c>
      <c r="D133" s="45" t="n">
        <v>98</v>
      </c>
      <c r="E133" s="45" t="n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24" customWidth="1" style="36" min="1" max="1"/>
    <col width="25" customWidth="1" style="36" min="2" max="2"/>
    <col width="28" customWidth="1" style="36" min="3" max="3"/>
    <col width="25" customWidth="1" style="36" min="4" max="4"/>
    <col width="25" customWidth="1" style="36" min="5" max="5"/>
    <col width="24" customWidth="1" style="36" min="6" max="6"/>
    <col width="28" customWidth="1" style="36" min="7" max="7"/>
    <col width="26" customWidth="1" style="36" min="8" max="8"/>
    <col width="23" customWidth="1" style="36" min="9" max="9"/>
    <col width="40" customWidth="1" style="36" min="10" max="10"/>
    <col width="21" customWidth="1" style="36" min="11" max="11"/>
  </cols>
  <sheetData>
    <row r="1">
      <c r="A1" s="54" t="inlineStr">
        <is>
          <t>codsoc</t>
        </is>
      </c>
      <c r="B1" s="54" t="inlineStr">
        <is>
          <t>010</t>
        </is>
      </c>
    </row>
    <row r="2">
      <c r="F2" s="54" t="inlineStr">
        <is>
          <t>type assure</t>
        </is>
      </c>
      <c r="G2" s="54" t="inlineStr">
        <is>
          <t>ASSURE</t>
        </is>
      </c>
    </row>
    <row r="3">
      <c r="A3" s="44" t="inlineStr">
        <is>
          <t>Étiquettes de lignes</t>
        </is>
      </c>
      <c r="B3" s="44" t="inlineStr">
        <is>
          <t>Somme de nb pp a date</t>
        </is>
      </c>
      <c r="C3" s="44" t="inlineStr">
        <is>
          <t>Somme de nb pp non radie</t>
        </is>
      </c>
      <c r="D3" s="44" t="inlineStr">
        <is>
          <t>% du total</t>
        </is>
      </c>
      <c r="E3" s="44" t="inlineStr">
        <is>
          <t>Taux radiation</t>
        </is>
      </c>
    </row>
    <row r="4">
      <c r="A4" s="51" t="inlineStr">
        <is>
          <t>ASCEND</t>
        </is>
      </c>
      <c r="B4" s="45" t="n">
        <v>2</v>
      </c>
      <c r="C4" s="45" t="n">
        <v>2</v>
      </c>
      <c r="D4" s="46" t="n">
        <v>4.924886856880571e-07</v>
      </c>
      <c r="E4" s="46" t="n">
        <v>0</v>
      </c>
      <c r="F4" s="44" t="inlineStr">
        <is>
          <t>Étiquettes de lignes</t>
        </is>
      </c>
      <c r="G4" s="44" t="inlineStr">
        <is>
          <t>Somme de nb pp non radie</t>
        </is>
      </c>
      <c r="H4" s="44" t="inlineStr">
        <is>
          <t>% du total ASSURE</t>
        </is>
      </c>
      <c r="I4" s="44" t="inlineStr">
        <is>
          <t>Formule à appliquer</t>
        </is>
      </c>
      <c r="J4" s="44" t="inlineStr">
        <is>
          <t>Libellé du regroupement</t>
        </is>
      </c>
      <c r="K4" s="44" t="inlineStr">
        <is>
          <t>Ordre d'affichage</t>
        </is>
      </c>
    </row>
    <row r="5">
      <c r="A5" s="51" t="inlineStr">
        <is>
          <t>ASSURE</t>
        </is>
      </c>
      <c r="B5" s="45" t="n">
        <v>3170840</v>
      </c>
      <c r="C5" s="45" t="n">
        <v>3179403</v>
      </c>
      <c r="D5" s="46" t="n">
        <v>0.782910002371333</v>
      </c>
      <c r="E5" s="46" t="n">
        <v>0.002693272919475763</v>
      </c>
      <c r="F5" s="51" t="inlineStr">
        <is>
          <t>INMMSPRET1</t>
        </is>
      </c>
      <c r="G5" s="45" t="n">
        <v>785885</v>
      </c>
      <c r="H5" s="46" t="n">
        <v>0.2452964698046112</v>
      </c>
      <c r="K5" s="41" t="n">
        <v>1</v>
      </c>
    </row>
    <row r="6">
      <c r="A6" s="51" t="inlineStr">
        <is>
          <t>CONJOI</t>
        </is>
      </c>
      <c r="B6" s="45" t="n">
        <v>206002</v>
      </c>
      <c r="C6" s="45" t="n">
        <v>206801</v>
      </c>
      <c r="D6" s="46" t="n">
        <v>0.05092357634448796</v>
      </c>
      <c r="E6" s="46" t="n">
        <v>0.003863617680765567</v>
      </c>
      <c r="F6" s="51" t="inlineStr">
        <is>
          <t>INSEFFBRED</t>
        </is>
      </c>
      <c r="G6" s="45" t="n">
        <v>742</v>
      </c>
      <c r="H6" s="46" t="n">
        <v>0.000231598746120643</v>
      </c>
      <c r="I6" s="61">
        <f>G6+G42</f>
        <v/>
      </c>
      <c r="J6" s="41" t="inlineStr">
        <is>
          <t>INSEFFBRED + INSEFFICIE</t>
        </is>
      </c>
      <c r="K6" s="41" t="n">
        <v>2</v>
      </c>
    </row>
    <row r="7">
      <c r="A7" s="51" t="inlineStr">
        <is>
          <t>ENFANT</t>
        </is>
      </c>
      <c r="B7" s="45" t="n">
        <v>670810</v>
      </c>
      <c r="C7" s="45" t="n">
        <v>674801</v>
      </c>
      <c r="D7" s="46" t="n">
        <v>0.1661659287954933</v>
      </c>
      <c r="E7" s="46" t="n">
        <v>0.00591433622653197</v>
      </c>
      <c r="F7" s="51" t="inlineStr">
        <is>
          <t>INPCULT002</t>
        </is>
      </c>
      <c r="G7" s="45" t="n">
        <v>5</v>
      </c>
      <c r="H7" s="46" t="n">
        <v>1.560638450947729e-06</v>
      </c>
      <c r="I7" s="61">
        <f>G7+G46</f>
        <v/>
      </c>
      <c r="J7" s="41" t="inlineStr">
        <is>
          <t>INPCULT002 + MEPCULT003</t>
        </is>
      </c>
      <c r="K7" s="41" t="n">
        <v>3</v>
      </c>
    </row>
    <row r="8">
      <c r="A8" s="55" t="inlineStr">
        <is>
          <t>Total général</t>
        </is>
      </c>
      <c r="B8" s="56" t="n">
        <v>4047654</v>
      </c>
      <c r="C8" s="56" t="n">
        <v>4061007</v>
      </c>
      <c r="D8" s="57" t="n">
        <v>1</v>
      </c>
      <c r="E8" s="57" t="n">
        <v>0.003288100709996314</v>
      </c>
      <c r="F8" s="51" t="inlineStr">
        <is>
          <t>INSMAEEREF</t>
        </is>
      </c>
      <c r="G8" s="45" t="n">
        <v>491</v>
      </c>
      <c r="H8" s="46" t="n">
        <v>0.000153254695883067</v>
      </c>
      <c r="I8" s="61">
        <f>G43+G8+G44</f>
        <v/>
      </c>
      <c r="J8" s="41" t="inlineStr">
        <is>
          <t>INSMAEEPNR+INSMAEEREF + INSMAEERET</t>
        </is>
      </c>
      <c r="K8" s="41" t="n">
        <v>4</v>
      </c>
    </row>
    <row r="9">
      <c r="F9" s="51" t="inlineStr">
        <is>
          <t>MESAPEI002</t>
        </is>
      </c>
      <c r="G9" s="45" t="n">
        <v>449</v>
      </c>
      <c r="H9" s="46" t="n">
        <v>0.0001401453328951061</v>
      </c>
      <c r="K9" s="41" t="n">
        <v>5</v>
      </c>
    </row>
    <row r="10">
      <c r="A10" s="54" t="inlineStr">
        <is>
          <t>codsoc</t>
        </is>
      </c>
      <c r="B10" s="54" t="inlineStr">
        <is>
          <t>044</t>
        </is>
      </c>
      <c r="F10" s="51" t="inlineStr">
        <is>
          <t>MESBGTL004</t>
        </is>
      </c>
      <c r="G10" s="45" t="n">
        <v>1418</v>
      </c>
      <c r="H10" s="46" t="n">
        <v>0.0004425970646887759</v>
      </c>
      <c r="K10" s="41" t="n">
        <v>6</v>
      </c>
    </row>
    <row r="11">
      <c r="F11" s="51" t="inlineStr">
        <is>
          <t>MESBSRT002</t>
        </is>
      </c>
      <c r="G11" s="45" t="n">
        <v>106</v>
      </c>
      <c r="H11" s="46" t="n">
        <v>3.308553516009185e-05</v>
      </c>
      <c r="K11" s="41" t="n">
        <v>7</v>
      </c>
    </row>
    <row r="12">
      <c r="A12" s="44" t="inlineStr">
        <is>
          <t>Étiquettes de lignes</t>
        </is>
      </c>
      <c r="B12" s="44" t="inlineStr">
        <is>
          <t>Somme de nb pp a date</t>
        </is>
      </c>
      <c r="C12" s="44" t="inlineStr">
        <is>
          <t>Somme de nb pp non radie</t>
        </is>
      </c>
      <c r="D12" s="44" t="inlineStr">
        <is>
          <t>% du total</t>
        </is>
      </c>
      <c r="E12" s="44" t="inlineStr">
        <is>
          <t>Taux radiation</t>
        </is>
      </c>
      <c r="F12" s="51" t="inlineStr">
        <is>
          <t>MESCULT002</t>
        </is>
      </c>
      <c r="G12" s="45" t="n">
        <v>20224</v>
      </c>
      <c r="H12" s="46" t="n">
        <v>0.006312470406393374</v>
      </c>
      <c r="I12" s="61">
        <f>G12+G49</f>
        <v/>
      </c>
      <c r="J12" s="41" t="inlineStr">
        <is>
          <t>MESCULT002 +MESCULT101</t>
        </is>
      </c>
      <c r="K12" s="41" t="n">
        <v>8</v>
      </c>
    </row>
    <row r="13">
      <c r="A13" s="51" t="inlineStr">
        <is>
          <t>ASCEND</t>
        </is>
      </c>
      <c r="B13" s="45" t="n">
        <v>15</v>
      </c>
      <c r="C13" s="45" t="n">
        <v>15</v>
      </c>
      <c r="D13" s="46" t="n">
        <v>0.0004905968928863451</v>
      </c>
      <c r="E13" s="46" t="n">
        <v>0</v>
      </c>
      <c r="F13" s="51" t="inlineStr">
        <is>
          <t>MESERASMUS</t>
        </is>
      </c>
      <c r="G13" s="45" t="n">
        <v>319</v>
      </c>
      <c r="H13" s="46" t="n">
        <v>9.95687331704651e-05</v>
      </c>
      <c r="K13" s="41" t="n">
        <v>9</v>
      </c>
    </row>
    <row r="14">
      <c r="A14" s="51" t="inlineStr">
        <is>
          <t>ASSURE</t>
        </is>
      </c>
      <c r="B14" s="45" t="n">
        <v>17367</v>
      </c>
      <c r="C14" s="45" t="n">
        <v>18238</v>
      </c>
      <c r="D14" s="46" t="n">
        <v>0.5965004088307441</v>
      </c>
      <c r="E14" s="46" t="n">
        <v>0.04775742954271302</v>
      </c>
      <c r="F14" s="51" t="inlineStr">
        <is>
          <t>MESESEA001</t>
        </is>
      </c>
      <c r="G14" s="45" t="n">
        <v>104</v>
      </c>
      <c r="H14" s="46" t="n">
        <v>3.246127977971276e-05</v>
      </c>
      <c r="K14" s="41" t="n">
        <v>10</v>
      </c>
    </row>
    <row r="15">
      <c r="A15" s="51" t="inlineStr">
        <is>
          <t>CONJOI</t>
        </is>
      </c>
      <c r="B15" s="45" t="n">
        <v>4091</v>
      </c>
      <c r="C15" s="45" t="n">
        <v>4303</v>
      </c>
      <c r="D15" s="46" t="n">
        <v>0.1407358953393295</v>
      </c>
      <c r="E15" s="46" t="n">
        <v>0.04926795259121543</v>
      </c>
      <c r="F15" s="51" t="inlineStr">
        <is>
          <t>MESFRVL001</t>
        </is>
      </c>
      <c r="G15" s="45" t="n">
        <v>47</v>
      </c>
      <c r="H15" s="46" t="n">
        <v>1.467000143890865e-05</v>
      </c>
      <c r="K15" s="41" t="n">
        <v>11</v>
      </c>
    </row>
    <row r="16">
      <c r="A16" s="51" t="inlineStr">
        <is>
          <t>ENFANT</t>
        </is>
      </c>
      <c r="B16" s="45" t="n">
        <v>7575</v>
      </c>
      <c r="C16" s="45" t="n">
        <v>8019</v>
      </c>
      <c r="D16" s="46" t="n">
        <v>0.26227309893704</v>
      </c>
      <c r="E16" s="46" t="n">
        <v>0.05536849981294426</v>
      </c>
      <c r="F16" s="51" t="inlineStr">
        <is>
          <t>MESGMMS004</t>
        </is>
      </c>
      <c r="G16" s="45" t="n">
        <v>408</v>
      </c>
      <c r="H16" s="46" t="n">
        <v>0.0001273480975973347</v>
      </c>
      <c r="K16" s="41" t="n">
        <v>12</v>
      </c>
    </row>
    <row r="17">
      <c r="A17" s="55" t="inlineStr">
        <is>
          <t>Total général</t>
        </is>
      </c>
      <c r="B17" s="56" t="n">
        <v>29048</v>
      </c>
      <c r="C17" s="56" t="n">
        <v>30575</v>
      </c>
      <c r="D17" s="57" t="n">
        <v>1</v>
      </c>
      <c r="E17" s="57" t="n">
        <v>0.04994276369582993</v>
      </c>
      <c r="F17" s="51" t="inlineStr">
        <is>
          <t>MESINOV003</t>
        </is>
      </c>
      <c r="G17" s="45" t="n">
        <v>258</v>
      </c>
      <c r="H17" s="46" t="n">
        <v>8.052894406890282e-05</v>
      </c>
      <c r="K17" s="41" t="n">
        <v>13</v>
      </c>
    </row>
    <row r="18">
      <c r="F18" s="51" t="inlineStr">
        <is>
          <t>MESJUAD002</t>
        </is>
      </c>
      <c r="G18" s="45" t="n">
        <v>3113</v>
      </c>
      <c r="H18" s="46" t="n">
        <v>0.000971653499560056</v>
      </c>
      <c r="I18" s="61">
        <f>G18+G50</f>
        <v/>
      </c>
      <c r="J18" s="41" t="inlineStr">
        <is>
          <t>MESJUAD002+MESJUAM005</t>
        </is>
      </c>
      <c r="K18" s="41" t="n">
        <v>14</v>
      </c>
    </row>
    <row r="19">
      <c r="A19" s="54" t="inlineStr">
        <is>
          <t>codsoc</t>
        </is>
      </c>
      <c r="B19" s="54" t="inlineStr">
        <is>
          <t>052</t>
        </is>
      </c>
      <c r="F19" s="51" t="inlineStr">
        <is>
          <t>MESLAD46</t>
        </is>
      </c>
      <c r="G19" s="45" t="n">
        <v>596</v>
      </c>
      <c r="H19" s="46" t="n">
        <v>0.0001860281033529693</v>
      </c>
      <c r="K19" s="41" t="n">
        <v>15</v>
      </c>
    </row>
    <row r="20">
      <c r="F20" s="51" t="inlineStr">
        <is>
          <t>MESMEAE102</t>
        </is>
      </c>
      <c r="G20" s="45" t="n">
        <v>9198</v>
      </c>
      <c r="H20" s="46" t="n">
        <v>0.002870950494363442</v>
      </c>
      <c r="I20" s="61">
        <f>G20+G51+G52</f>
        <v/>
      </c>
      <c r="J20" s="41" t="inlineStr">
        <is>
          <t>MESMEAE102 + MESMEAE202 + MESMEAE301</t>
        </is>
      </c>
      <c r="K20" s="41" t="n">
        <v>16</v>
      </c>
    </row>
    <row r="21">
      <c r="A21" s="44" t="inlineStr">
        <is>
          <t>Étiquettes de lignes</t>
        </is>
      </c>
      <c r="B21" s="44" t="inlineStr">
        <is>
          <t>Somme de nb pp a date</t>
        </is>
      </c>
      <c r="C21" s="44" t="inlineStr">
        <is>
          <t>Somme de nb pp non radie</t>
        </is>
      </c>
      <c r="D21" s="44" t="inlineStr">
        <is>
          <t>% du total</t>
        </is>
      </c>
      <c r="E21" s="44" t="inlineStr">
        <is>
          <t>Taux radiation</t>
        </is>
      </c>
      <c r="F21" s="51" t="inlineStr">
        <is>
          <t>MESMEN001</t>
        </is>
      </c>
      <c r="G21" s="45" t="n">
        <v>1213928</v>
      </c>
      <c r="H21" s="46" t="n">
        <v>0.3789005426964149</v>
      </c>
      <c r="I21" s="61">
        <f>G21+G53+G54</f>
        <v/>
      </c>
      <c r="J21" s="41" t="inlineStr">
        <is>
          <t>MESMEN001 + MESMEN2003 + MESMEN3001</t>
        </is>
      </c>
      <c r="K21" s="41" t="n">
        <v>17</v>
      </c>
    </row>
    <row r="22">
      <c r="A22" s="51" t="inlineStr">
        <is>
          <t>ASSURE</t>
        </is>
      </c>
      <c r="B22" s="45" t="n">
        <v>5356</v>
      </c>
      <c r="C22" s="45" t="n">
        <v>5363</v>
      </c>
      <c r="D22" s="46" t="n">
        <v>0.6213648476422199</v>
      </c>
      <c r="E22" s="46" t="n">
        <v>0.001305239604698863</v>
      </c>
      <c r="F22" s="51" t="inlineStr">
        <is>
          <t>MESMNTSALA</t>
        </is>
      </c>
      <c r="G22" s="45" t="n">
        <v>1090</v>
      </c>
      <c r="H22" s="46" t="n">
        <v>0.0003402191823066049</v>
      </c>
      <c r="K22" s="41" t="n">
        <v>18</v>
      </c>
    </row>
    <row r="23">
      <c r="A23" s="51" t="inlineStr">
        <is>
          <t>CONJOI</t>
        </is>
      </c>
      <c r="B23" s="45" t="n">
        <v>931</v>
      </c>
      <c r="C23" s="45" t="n">
        <v>933</v>
      </c>
      <c r="D23" s="46" t="n">
        <v>0.10809871393813</v>
      </c>
      <c r="E23" s="46" t="n">
        <v>0.002143622722400857</v>
      </c>
      <c r="F23" s="51" t="inlineStr">
        <is>
          <t>MESMUTFR31</t>
        </is>
      </c>
      <c r="G23" s="45" t="n">
        <v>566</v>
      </c>
      <c r="H23" s="46" t="n">
        <v>0.0001766642726472829</v>
      </c>
      <c r="K23" s="41" t="n">
        <v>19</v>
      </c>
    </row>
    <row r="24">
      <c r="A24" s="51" t="inlineStr">
        <is>
          <t>ENFANT</t>
        </is>
      </c>
      <c r="B24" s="45" t="n">
        <v>2330</v>
      </c>
      <c r="C24" s="45" t="n">
        <v>2335</v>
      </c>
      <c r="D24" s="46" t="n">
        <v>0.2705364384196501</v>
      </c>
      <c r="E24" s="46" t="n">
        <v>0.002141327623126338</v>
      </c>
      <c r="F24" s="51" t="inlineStr">
        <is>
          <t>STSNUANCE</t>
        </is>
      </c>
      <c r="G24" s="45" t="n">
        <v>111</v>
      </c>
      <c r="H24" s="46" t="n">
        <v>3.464617361103958e-05</v>
      </c>
      <c r="K24" s="41" t="n">
        <v>20</v>
      </c>
    </row>
    <row r="25">
      <c r="A25" s="55" t="inlineStr">
        <is>
          <t>Total général</t>
        </is>
      </c>
      <c r="B25" s="56" t="n">
        <v>8617</v>
      </c>
      <c r="C25" s="56" t="n">
        <v>8631</v>
      </c>
      <c r="D25" s="57" t="n">
        <v>1</v>
      </c>
      <c r="E25" s="57" t="n">
        <v>0.0016220600162206</v>
      </c>
      <c r="F25" s="51" t="inlineStr">
        <is>
          <t>MEPMAS001</t>
        </is>
      </c>
      <c r="G25" s="45" t="n">
        <v>812</v>
      </c>
      <c r="H25" s="46" t="n">
        <v>0.0002534476844339112</v>
      </c>
      <c r="K25" s="41" t="n">
        <v>21</v>
      </c>
    </row>
    <row r="26">
      <c r="F26" s="51" t="inlineStr">
        <is>
          <t>INSMAS001</t>
        </is>
      </c>
      <c r="G26" s="45" t="n">
        <v>16</v>
      </c>
      <c r="H26" s="46" t="n">
        <v>4.994043043032732e-06</v>
      </c>
      <c r="K26" s="41" t="n">
        <v>22</v>
      </c>
    </row>
    <row r="27">
      <c r="A27" s="54" t="inlineStr">
        <is>
          <t>codsoc</t>
        </is>
      </c>
      <c r="B27" s="54" t="inlineStr">
        <is>
          <t>073</t>
        </is>
      </c>
      <c r="F27" s="51" t="inlineStr">
        <is>
          <t>MEPMEAE001</t>
        </is>
      </c>
      <c r="G27" s="45" t="n">
        <v>459</v>
      </c>
      <c r="H27" s="46" t="n">
        <v>0.0001432666097970015</v>
      </c>
      <c r="I27" s="61">
        <f>G27+G47</f>
        <v/>
      </c>
      <c r="J27" s="41" t="inlineStr">
        <is>
          <t>MEPMEAE001+MEPMEAT002</t>
        </is>
      </c>
      <c r="K27" s="41" t="n">
        <v>23</v>
      </c>
    </row>
    <row r="28">
      <c r="F28" s="51" t="inlineStr">
        <is>
          <t>INSMIOM001</t>
        </is>
      </c>
      <c r="G28" s="45" t="n">
        <v>334</v>
      </c>
      <c r="H28" s="46" t="n">
        <v>0.0001042506485233083</v>
      </c>
      <c r="K28" s="41" t="n">
        <v>24</v>
      </c>
    </row>
    <row r="29">
      <c r="A29" s="44" t="inlineStr">
        <is>
          <t>Étiquettes de lignes</t>
        </is>
      </c>
      <c r="B29" s="44" t="inlineStr">
        <is>
          <t>Somme de nb pp a date</t>
        </is>
      </c>
      <c r="C29" s="44" t="inlineStr">
        <is>
          <t>Somme de nb pp non radie</t>
        </is>
      </c>
      <c r="D29" s="44" t="inlineStr">
        <is>
          <t>% du total</t>
        </is>
      </c>
      <c r="E29" s="44" t="inlineStr">
        <is>
          <t>Taux radiation</t>
        </is>
      </c>
      <c r="F29" s="51" t="inlineStr">
        <is>
          <t>INPPREVIND</t>
        </is>
      </c>
      <c r="G29" s="45" t="n">
        <v>691892</v>
      </c>
      <c r="H29" s="46" t="n">
        <v>0.2159586518206252</v>
      </c>
      <c r="K29" s="41" t="n">
        <v>25</v>
      </c>
    </row>
    <row r="30">
      <c r="A30" s="51" t="inlineStr">
        <is>
          <t>ASSURE</t>
        </is>
      </c>
      <c r="B30" s="45" t="n">
        <v>800</v>
      </c>
      <c r="C30" s="45" t="n">
        <v>813</v>
      </c>
      <c r="D30" s="46" t="n">
        <v>0.9987714987714987</v>
      </c>
      <c r="E30" s="46" t="n">
        <v>0.01599015990159901</v>
      </c>
      <c r="F30" s="51" t="inlineStr">
        <is>
          <t>MEPMENP002</t>
        </is>
      </c>
      <c r="G30" s="45" t="n">
        <v>96052</v>
      </c>
      <c r="H30" s="46" t="n">
        <v>0.02998048889808625</v>
      </c>
      <c r="I30" s="61">
        <f>G30+G48</f>
        <v/>
      </c>
      <c r="J30" s="41" t="inlineStr">
        <is>
          <t>MEPMENP002+MEPMENP201</t>
        </is>
      </c>
      <c r="K30" s="41" t="n">
        <v>27</v>
      </c>
    </row>
    <row r="31">
      <c r="A31" s="51" t="inlineStr">
        <is>
          <t>CONJOI</t>
        </is>
      </c>
      <c r="B31" s="45" t="n">
        <v>1</v>
      </c>
      <c r="C31" s="45" t="n">
        <v>1</v>
      </c>
      <c r="D31" s="46" t="n">
        <v>0.001228501228501228</v>
      </c>
      <c r="E31" s="46" t="n">
        <v>0</v>
      </c>
      <c r="F31" s="51" t="inlineStr">
        <is>
          <t>INMMISPACT</t>
        </is>
      </c>
      <c r="G31" s="45" t="n">
        <v>3776</v>
      </c>
      <c r="H31" s="46" t="n">
        <v>0.001178594158155725</v>
      </c>
      <c r="I31" s="61">
        <f>G31+G37+G38</f>
        <v/>
      </c>
      <c r="J31" s="41" t="inlineStr">
        <is>
          <t>INMMISPACT + INMMISPAUT + INMMISPRET</t>
        </is>
      </c>
      <c r="K31" s="41" t="n">
        <v>28</v>
      </c>
    </row>
    <row r="32">
      <c r="A32" s="55" t="inlineStr">
        <is>
          <t>Total général</t>
        </is>
      </c>
      <c r="B32" s="56" t="n">
        <v>801</v>
      </c>
      <c r="C32" s="56" t="n">
        <v>814</v>
      </c>
      <c r="D32" s="57" t="n">
        <v>1</v>
      </c>
      <c r="E32" s="57" t="n">
        <v>0.01597051597051597</v>
      </c>
      <c r="F32" s="51" t="inlineStr">
        <is>
          <t>INMMSPOJI1</t>
        </is>
      </c>
      <c r="G32" s="45" t="n">
        <v>32432</v>
      </c>
      <c r="H32" s="46" t="n">
        <v>0.01012292524822735</v>
      </c>
      <c r="K32" s="41" t="n">
        <v>29</v>
      </c>
    </row>
    <row r="33">
      <c r="F33" s="51" t="inlineStr">
        <is>
          <t>INSC2SG</t>
        </is>
      </c>
      <c r="G33" s="45" t="n">
        <v>15651</v>
      </c>
      <c r="H33" s="46" t="n">
        <v>0.004885110479156581</v>
      </c>
      <c r="I33" s="61">
        <f>G33+G40+G41</f>
        <v/>
      </c>
      <c r="J33" s="41" t="inlineStr">
        <is>
          <t>INSC2SG + INSC2SP + INSC2SS</t>
        </is>
      </c>
      <c r="K33" s="41" t="n">
        <v>30</v>
      </c>
    </row>
    <row r="34">
      <c r="A34" s="54" t="inlineStr">
        <is>
          <t>codsoc</t>
        </is>
      </c>
      <c r="B34" s="54" t="inlineStr">
        <is>
          <t>(Toutes)</t>
        </is>
      </c>
      <c r="F34" s="51" t="inlineStr">
        <is>
          <t>INSMTE0001</t>
        </is>
      </c>
      <c r="G34" s="45" t="n">
        <v>4484</v>
      </c>
      <c r="H34" s="46" t="n">
        <v>0.001399580562809923</v>
      </c>
      <c r="I34" s="61">
        <f>G34+G45</f>
        <v/>
      </c>
      <c r="J34" s="41" t="inlineStr">
        <is>
          <t>INSMTE0001 + INSMTE1001</t>
        </is>
      </c>
      <c r="K34" s="41" t="n">
        <v>31</v>
      </c>
    </row>
    <row r="35">
      <c r="F35" s="51" t="inlineStr">
        <is>
          <t>INMMSPACT1</t>
        </is>
      </c>
      <c r="G35" s="45" t="n">
        <v>169667</v>
      </c>
      <c r="H35" s="46" t="n">
        <v>0.05295776881138967</v>
      </c>
      <c r="K35" s="41" t="n">
        <v>32</v>
      </c>
    </row>
    <row r="36">
      <c r="A36" s="44" t="inlineStr">
        <is>
          <t>Étiquettes de lignes</t>
        </is>
      </c>
      <c r="B36" s="44" t="inlineStr">
        <is>
          <t>Somme de nb pp a date</t>
        </is>
      </c>
      <c r="C36" s="44" t="inlineStr">
        <is>
          <t>Somme de nb pp non radie</t>
        </is>
      </c>
      <c r="D36" s="44" t="inlineStr">
        <is>
          <t>% du total</t>
        </is>
      </c>
      <c r="E36" s="44" t="inlineStr">
        <is>
          <t>Taux radiation</t>
        </is>
      </c>
      <c r="F36" s="51" t="inlineStr">
        <is>
          <t>INSMALT001</t>
        </is>
      </c>
      <c r="G36" s="45" t="n">
        <v>22132</v>
      </c>
      <c r="H36" s="46" t="n">
        <v>0.006908010039275027</v>
      </c>
      <c r="K36" s="41" t="n">
        <v>33</v>
      </c>
    </row>
    <row r="37">
      <c r="A37" s="58" t="inlineStr">
        <is>
          <t>ASCEND</t>
        </is>
      </c>
      <c r="B37" s="59" t="n">
        <v>17</v>
      </c>
      <c r="C37" s="59" t="n">
        <v>17</v>
      </c>
      <c r="D37" s="62" t="n">
        <v>4.145303115536669e-06</v>
      </c>
      <c r="E37" s="62" t="n">
        <v>0</v>
      </c>
      <c r="F37" s="51" t="inlineStr">
        <is>
          <t>INMMISPAUT</t>
        </is>
      </c>
      <c r="G37" s="45" t="n">
        <v>1771</v>
      </c>
      <c r="H37" s="46" t="n">
        <v>0.0005527781393256856</v>
      </c>
    </row>
    <row r="38">
      <c r="A38" s="58" t="inlineStr">
        <is>
          <t>ASSURE</t>
        </is>
      </c>
      <c r="B38" s="59" t="n">
        <v>3194363</v>
      </c>
      <c r="C38" s="59" t="n">
        <v>3203817</v>
      </c>
      <c r="D38" s="62" t="n">
        <v>0.7812230936299615</v>
      </c>
      <c r="E38" s="62" t="n">
        <v>0.002950855183051966</v>
      </c>
      <c r="F38" s="51" t="inlineStr">
        <is>
          <t>INMMISPRET</t>
        </is>
      </c>
      <c r="G38" s="45" t="n">
        <v>5674</v>
      </c>
      <c r="H38" s="46" t="n">
        <v>0.001771012514135483</v>
      </c>
    </row>
    <row r="39">
      <c r="A39" s="58" t="inlineStr">
        <is>
          <t>CONJOI</t>
        </is>
      </c>
      <c r="B39" s="59" t="n">
        <v>211025</v>
      </c>
      <c r="C39" s="59" t="n">
        <v>212038</v>
      </c>
      <c r="D39" s="62" t="n">
        <v>0.05170363423600966</v>
      </c>
      <c r="E39" s="62" t="n">
        <v>0.004777445552212339</v>
      </c>
      <c r="F39" s="51" t="inlineStr">
        <is>
          <t>INPMAS001</t>
        </is>
      </c>
      <c r="G39" s="45" t="n">
        <v>1</v>
      </c>
      <c r="H39" s="46" t="n">
        <v>3.121276901895458e-07</v>
      </c>
    </row>
    <row r="40">
      <c r="A40" s="58" t="inlineStr">
        <is>
          <t>ENFANT</t>
        </is>
      </c>
      <c r="B40" s="59" t="n">
        <v>680715</v>
      </c>
      <c r="C40" s="59" t="n">
        <v>685155</v>
      </c>
      <c r="D40" s="62" t="n">
        <v>0.1670691268309133</v>
      </c>
      <c r="E40" s="62" t="n">
        <v>0.006480285482846947</v>
      </c>
      <c r="F40" s="51" t="inlineStr">
        <is>
          <t>INSC2SP</t>
        </is>
      </c>
      <c r="G40" s="45" t="n">
        <v>10878</v>
      </c>
      <c r="H40" s="46" t="n">
        <v>0.003395325013881879</v>
      </c>
    </row>
    <row r="41">
      <c r="A41" s="58" t="inlineStr">
        <is>
          <t>Total général</t>
        </is>
      </c>
      <c r="B41" s="59" t="n">
        <v>4086120</v>
      </c>
      <c r="C41" s="59" t="n">
        <v>4101027</v>
      </c>
      <c r="D41" s="60" t="n">
        <v>1</v>
      </c>
      <c r="E41" s="60" t="n">
        <v>0.003634943149606184</v>
      </c>
      <c r="F41" s="51" t="inlineStr">
        <is>
          <t>INSC2SS</t>
        </is>
      </c>
      <c r="G41" s="45" t="n">
        <v>666</v>
      </c>
      <c r="H41" s="46" t="n">
        <v>0.0002078770416662375</v>
      </c>
    </row>
    <row r="42">
      <c r="F42" s="51" t="inlineStr">
        <is>
          <t>INSEFFICIE</t>
        </is>
      </c>
      <c r="G42" s="45" t="n">
        <v>92503</v>
      </c>
      <c r="H42" s="46" t="n">
        <v>0.02887274772560355</v>
      </c>
    </row>
    <row r="43">
      <c r="F43" s="51" t="inlineStr">
        <is>
          <t>INSMAEEPNR</t>
        </is>
      </c>
      <c r="G43" s="45" t="n">
        <v>68</v>
      </c>
      <c r="H43" s="46" t="n">
        <v>2.122468293288911e-05</v>
      </c>
    </row>
    <row r="44">
      <c r="F44" s="51" t="inlineStr">
        <is>
          <t>INSMAEERET</t>
        </is>
      </c>
      <c r="G44" s="45" t="n">
        <v>4192</v>
      </c>
      <c r="H44" s="46" t="n">
        <v>0.001308439277274576</v>
      </c>
    </row>
    <row r="45">
      <c r="F45" s="51" t="inlineStr">
        <is>
          <t>INSMTE1001</t>
        </is>
      </c>
      <c r="G45" s="45" t="n">
        <v>57</v>
      </c>
      <c r="H45" s="46" t="n">
        <v>1.779127834080411e-05</v>
      </c>
    </row>
    <row r="46">
      <c r="F46" s="51" t="inlineStr">
        <is>
          <t>MEPCULT003</t>
        </is>
      </c>
      <c r="G46" s="45" t="n">
        <v>854</v>
      </c>
      <c r="H46" s="46" t="n">
        <v>0.0002665570474218721</v>
      </c>
    </row>
    <row r="47">
      <c r="F47" s="51" t="inlineStr">
        <is>
          <t>MEPMEAT002</t>
        </is>
      </c>
      <c r="G47" s="45" t="n">
        <v>853</v>
      </c>
      <c r="H47" s="46" t="n">
        <v>0.0002662449197316825</v>
      </c>
    </row>
    <row r="48">
      <c r="F48" s="51" t="inlineStr">
        <is>
          <t>MEPMENP201</t>
        </is>
      </c>
      <c r="G48" s="45" t="n">
        <v>274</v>
      </c>
      <c r="H48" s="46" t="n">
        <v>8.552298711193554e-05</v>
      </c>
    </row>
    <row r="49">
      <c r="F49" s="51" t="inlineStr">
        <is>
          <t>MESCULT101</t>
        </is>
      </c>
      <c r="G49" s="45" t="n">
        <v>7</v>
      </c>
      <c r="H49" s="46" t="n">
        <v>2.184893831326821e-06</v>
      </c>
    </row>
    <row r="50">
      <c r="F50" s="51" t="inlineStr">
        <is>
          <t>MESJUAM005</t>
        </is>
      </c>
      <c r="G50" s="45" t="n">
        <v>4</v>
      </c>
      <c r="H50" s="46" t="n">
        <v>1.248510760758183e-06</v>
      </c>
    </row>
    <row r="51">
      <c r="F51" s="51" t="inlineStr">
        <is>
          <t>MESMEAE202</t>
        </is>
      </c>
      <c r="G51" s="45" t="n">
        <v>4288</v>
      </c>
      <c r="H51" s="46" t="n">
        <v>0.001338403535532772</v>
      </c>
    </row>
    <row r="52">
      <c r="F52" s="51" t="inlineStr">
        <is>
          <t>MESMEAE301</t>
        </is>
      </c>
      <c r="G52" s="45" t="n">
        <v>1</v>
      </c>
      <c r="H52" s="46" t="n">
        <v>3.121276901895458e-07</v>
      </c>
    </row>
    <row r="53">
      <c r="F53" s="51" t="inlineStr">
        <is>
          <t>MESMEN2003</t>
        </is>
      </c>
      <c r="G53" s="45" t="n">
        <v>4215</v>
      </c>
      <c r="H53" s="46" t="n">
        <v>0.001315618214148936</v>
      </c>
    </row>
    <row r="54">
      <c r="F54" s="51" t="inlineStr">
        <is>
          <t>MESMEN3001</t>
        </is>
      </c>
      <c r="G54" s="45" t="n">
        <v>744</v>
      </c>
      <c r="H54" s="46" t="n">
        <v>0.0002322230015010221</v>
      </c>
    </row>
    <row r="55">
      <c r="F55" s="51" t="inlineStr">
        <is>
          <t>OFFSUP</t>
        </is>
      </c>
      <c r="G55" s="45" t="n">
        <v>2</v>
      </c>
      <c r="H55" s="46" t="n">
        <v>6.242553803790915e-07</v>
      </c>
    </row>
    <row r="56">
      <c r="F56" s="55" t="inlineStr">
        <is>
          <t>Total général</t>
        </is>
      </c>
      <c r="G56" s="56" t="n">
        <v>3203817</v>
      </c>
      <c r="H56" s="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6" min="1" max="1"/>
    <col width="28" customWidth="1" style="36" min="2" max="2"/>
    <col width="26" customWidth="1" style="36" min="3" max="3"/>
    <col width="16" customWidth="1" style="36" min="4" max="4"/>
    <col width="40" customWidth="1" style="36" min="5" max="5"/>
    <col width="11" customWidth="1" style="36" min="6" max="6"/>
  </cols>
  <sheetData>
    <row r="1">
      <c r="A1" s="44" t="inlineStr">
        <is>
          <t>Étiquettes de lignes</t>
        </is>
      </c>
      <c r="B1" s="44" t="inlineStr">
        <is>
          <t>Somme de nb pp non radie</t>
        </is>
      </c>
      <c r="C1" s="44" t="inlineStr">
        <is>
          <t>% du total ASSURE</t>
        </is>
      </c>
      <c r="D1" s="44" t="inlineStr">
        <is>
          <t>Total</t>
        </is>
      </c>
      <c r="E1" s="44" t="inlineStr">
        <is>
          <t>Formule</t>
        </is>
      </c>
      <c r="F1" s="44" t="inlineStr">
        <is>
          <t>Colonne</t>
        </is>
      </c>
    </row>
    <row r="2">
      <c r="A2" s="51" t="inlineStr">
        <is>
          <t>INMMSPRET1</t>
        </is>
      </c>
      <c r="B2" s="45" t="n">
        <v>785885</v>
      </c>
      <c r="C2" s="46" t="n">
        <v>0.2452964698046112</v>
      </c>
      <c r="D2" s="45">
        <f>B2</f>
        <v/>
      </c>
      <c r="F2" s="53" t="n">
        <v>1</v>
      </c>
    </row>
    <row r="3">
      <c r="A3" s="51" t="inlineStr">
        <is>
          <t>INSEFFBRED</t>
        </is>
      </c>
      <c r="B3" s="45" t="n">
        <v>742</v>
      </c>
      <c r="C3" s="46" t="n">
        <v>0.000231598746120643</v>
      </c>
      <c r="D3" s="45">
        <f>B3+B39</f>
        <v/>
      </c>
      <c r="E3" s="41" t="inlineStr">
        <is>
          <t>INSEFFBRED + INSEFFICIE</t>
        </is>
      </c>
      <c r="F3" s="53" t="n">
        <v>2</v>
      </c>
    </row>
    <row r="4">
      <c r="A4" s="51" t="inlineStr">
        <is>
          <t>INPCULT002</t>
        </is>
      </c>
      <c r="B4" s="45" t="n">
        <v>5</v>
      </c>
      <c r="C4" s="46" t="n">
        <v>1.560638450947729e-06</v>
      </c>
      <c r="D4" s="45">
        <f>B4+B43</f>
        <v/>
      </c>
      <c r="E4" s="41" t="inlineStr">
        <is>
          <t>INPCULT002 + MEPCULT003</t>
        </is>
      </c>
      <c r="F4" s="53" t="n">
        <v>3</v>
      </c>
    </row>
    <row r="5">
      <c r="A5" s="51" t="inlineStr">
        <is>
          <t>INSMAEEREF</t>
        </is>
      </c>
      <c r="B5" s="45" t="n">
        <v>491</v>
      </c>
      <c r="C5" s="46" t="n">
        <v>0.000153254695883067</v>
      </c>
      <c r="D5" s="45">
        <f>B40+B5+B41</f>
        <v/>
      </c>
      <c r="E5" s="41" t="inlineStr">
        <is>
          <t>INSMAEEPNR+INSMAEEREF + INSMAEERET</t>
        </is>
      </c>
      <c r="F5" s="53" t="n">
        <v>4</v>
      </c>
    </row>
    <row r="6">
      <c r="A6" s="51" t="inlineStr">
        <is>
          <t>MESAPEI002</t>
        </is>
      </c>
      <c r="B6" s="45" t="n">
        <v>449</v>
      </c>
      <c r="C6" s="46" t="n">
        <v>0.0001401453328951061</v>
      </c>
      <c r="D6" s="45">
        <f>B6</f>
        <v/>
      </c>
      <c r="F6" s="53" t="n">
        <v>5</v>
      </c>
    </row>
    <row r="7">
      <c r="A7" s="51" t="inlineStr">
        <is>
          <t>MESBGTL004</t>
        </is>
      </c>
      <c r="B7" s="45" t="n">
        <v>1418</v>
      </c>
      <c r="C7" s="46" t="n">
        <v>0.0004425970646887759</v>
      </c>
      <c r="D7" s="45">
        <f>B7</f>
        <v/>
      </c>
      <c r="F7" s="53" t="n">
        <v>6</v>
      </c>
    </row>
    <row r="8">
      <c r="A8" s="51" t="inlineStr">
        <is>
          <t>MESBSRT002</t>
        </is>
      </c>
      <c r="B8" s="45" t="n">
        <v>106</v>
      </c>
      <c r="C8" s="46" t="n">
        <v>3.308553516009185e-05</v>
      </c>
      <c r="D8" s="45">
        <f>B8</f>
        <v/>
      </c>
      <c r="F8" s="53" t="n">
        <v>7</v>
      </c>
    </row>
    <row r="9">
      <c r="A9" s="51" t="inlineStr">
        <is>
          <t>MESCULT002</t>
        </is>
      </c>
      <c r="B9" s="45" t="n">
        <v>20224</v>
      </c>
      <c r="C9" s="46" t="n">
        <v>0.006312470406393374</v>
      </c>
      <c r="D9" s="45">
        <f>B9+B46</f>
        <v/>
      </c>
      <c r="E9" s="41" t="inlineStr">
        <is>
          <t>MESCULT002 +MESCULT101</t>
        </is>
      </c>
      <c r="F9" s="53" t="n">
        <v>8</v>
      </c>
    </row>
    <row r="10">
      <c r="A10" s="51" t="inlineStr">
        <is>
          <t>MESERASMUS</t>
        </is>
      </c>
      <c r="B10" s="45" t="n">
        <v>319</v>
      </c>
      <c r="C10" s="46" t="n">
        <v>9.95687331704651e-05</v>
      </c>
      <c r="D10" s="45">
        <f>B10</f>
        <v/>
      </c>
      <c r="F10" s="53" t="n">
        <v>9</v>
      </c>
    </row>
    <row r="11">
      <c r="A11" s="51" t="inlineStr">
        <is>
          <t>MESESEA001</t>
        </is>
      </c>
      <c r="B11" s="45" t="n">
        <v>104</v>
      </c>
      <c r="C11" s="46" t="n">
        <v>3.246127977971276e-05</v>
      </c>
      <c r="D11" s="45">
        <f>B11</f>
        <v/>
      </c>
      <c r="F11" s="53" t="n">
        <v>10</v>
      </c>
    </row>
    <row r="12">
      <c r="A12" s="51" t="inlineStr">
        <is>
          <t>MESFRVL001</t>
        </is>
      </c>
      <c r="B12" s="45" t="n">
        <v>47</v>
      </c>
      <c r="C12" s="46" t="n">
        <v>1.467000143890865e-05</v>
      </c>
      <c r="D12" s="45">
        <f>B12</f>
        <v/>
      </c>
      <c r="F12" s="53" t="n">
        <v>11</v>
      </c>
    </row>
    <row r="13">
      <c r="A13" s="51" t="inlineStr">
        <is>
          <t>MESGMMS004</t>
        </is>
      </c>
      <c r="B13" s="45" t="n">
        <v>408</v>
      </c>
      <c r="C13" s="46" t="n">
        <v>0.0001273480975973347</v>
      </c>
      <c r="D13" s="45">
        <f>B13</f>
        <v/>
      </c>
      <c r="F13" s="53" t="n">
        <v>12</v>
      </c>
    </row>
    <row r="14">
      <c r="A14" s="51" t="inlineStr">
        <is>
          <t>MESINOV003</t>
        </is>
      </c>
      <c r="B14" s="45" t="n">
        <v>258</v>
      </c>
      <c r="C14" s="46" t="n">
        <v>8.052894406890282e-05</v>
      </c>
      <c r="D14" s="45">
        <f>B14</f>
        <v/>
      </c>
      <c r="F14" s="53" t="n">
        <v>13</v>
      </c>
    </row>
    <row r="15">
      <c r="A15" s="51" t="inlineStr">
        <is>
          <t>MESJUAD002</t>
        </is>
      </c>
      <c r="B15" s="45" t="n">
        <v>3113</v>
      </c>
      <c r="C15" s="46" t="n">
        <v>0.000971653499560056</v>
      </c>
      <c r="D15" s="45">
        <f>B15+B47</f>
        <v/>
      </c>
      <c r="E15" s="41" t="inlineStr">
        <is>
          <t>MESJUAD002+MESJUAM005</t>
        </is>
      </c>
      <c r="F15" s="53" t="n">
        <v>14</v>
      </c>
    </row>
    <row r="16">
      <c r="A16" s="51" t="inlineStr">
        <is>
          <t>MESLAD46</t>
        </is>
      </c>
      <c r="B16" s="45" t="n">
        <v>596</v>
      </c>
      <c r="C16" s="46" t="n">
        <v>0.0001860281033529693</v>
      </c>
      <c r="D16" s="45">
        <f>B16</f>
        <v/>
      </c>
      <c r="F16" s="53" t="n">
        <v>15</v>
      </c>
    </row>
    <row r="17">
      <c r="A17" s="51" t="inlineStr">
        <is>
          <t>MESMEAE102</t>
        </is>
      </c>
      <c r="B17" s="45" t="n">
        <v>9198</v>
      </c>
      <c r="C17" s="46" t="n">
        <v>0.002870950494363442</v>
      </c>
      <c r="D17" s="45">
        <f>B17+B48+B49</f>
        <v/>
      </c>
      <c r="E17" s="41" t="inlineStr">
        <is>
          <t>MESMEAE102 + MESMEAE202 + MESMEAE301</t>
        </is>
      </c>
      <c r="F17" s="53" t="n">
        <v>16</v>
      </c>
    </row>
    <row r="18">
      <c r="A18" s="51" t="inlineStr">
        <is>
          <t>MESMEN001</t>
        </is>
      </c>
      <c r="B18" s="45" t="n">
        <v>1213928</v>
      </c>
      <c r="C18" s="46" t="n">
        <v>0.3789005426964149</v>
      </c>
      <c r="D18" s="45">
        <f>B18+B50+B51</f>
        <v/>
      </c>
      <c r="E18" s="41" t="inlineStr">
        <is>
          <t>MESMEN001 + MESMEN2003 + MESMEN3001</t>
        </is>
      </c>
      <c r="F18" s="53" t="n">
        <v>17</v>
      </c>
    </row>
    <row r="19">
      <c r="A19" s="51" t="inlineStr">
        <is>
          <t>MESMNTSALA</t>
        </is>
      </c>
      <c r="B19" s="45" t="n">
        <v>1090</v>
      </c>
      <c r="C19" s="46" t="n">
        <v>0.0003402191823066049</v>
      </c>
      <c r="D19" s="45">
        <f>B19</f>
        <v/>
      </c>
      <c r="F19" s="53" t="n">
        <v>18</v>
      </c>
    </row>
    <row r="20">
      <c r="A20" s="51" t="inlineStr">
        <is>
          <t>MESMUTFR31</t>
        </is>
      </c>
      <c r="B20" s="45" t="n">
        <v>566</v>
      </c>
      <c r="C20" s="46" t="n">
        <v>0.0001766642726472829</v>
      </c>
      <c r="D20" s="45">
        <f>B20</f>
        <v/>
      </c>
      <c r="F20" s="53" t="n">
        <v>19</v>
      </c>
    </row>
    <row r="21">
      <c r="A21" s="51" t="inlineStr">
        <is>
          <t>STSNUANCE</t>
        </is>
      </c>
      <c r="B21" s="45" t="n">
        <v>111</v>
      </c>
      <c r="C21" s="46" t="n">
        <v>3.464617361103958e-05</v>
      </c>
      <c r="D21" s="45">
        <f>B21</f>
        <v/>
      </c>
      <c r="F21" s="53" t="n">
        <v>20</v>
      </c>
    </row>
    <row r="22">
      <c r="A22" s="51" t="inlineStr">
        <is>
          <t>MEPMAS001</t>
        </is>
      </c>
      <c r="B22" s="45" t="n">
        <v>812</v>
      </c>
      <c r="C22" s="46" t="n">
        <v>0.0002534476844339112</v>
      </c>
      <c r="D22" s="45">
        <f>B22</f>
        <v/>
      </c>
      <c r="F22" s="53" t="n">
        <v>21</v>
      </c>
    </row>
    <row r="23">
      <c r="A23" s="51" t="inlineStr">
        <is>
          <t>INSMAS001</t>
        </is>
      </c>
      <c r="B23" s="45" t="n">
        <v>16</v>
      </c>
      <c r="C23" s="46" t="n">
        <v>4.994043043032732e-06</v>
      </c>
      <c r="D23" s="45">
        <f>B23</f>
        <v/>
      </c>
      <c r="F23" s="53" t="n">
        <v>22</v>
      </c>
    </row>
    <row r="24">
      <c r="A24" s="51" t="inlineStr">
        <is>
          <t>MEPMEAE001</t>
        </is>
      </c>
      <c r="B24" s="45" t="n">
        <v>459</v>
      </c>
      <c r="C24" s="46" t="n">
        <v>0.0001432666097970015</v>
      </c>
      <c r="D24" s="45">
        <f>B24+B44</f>
        <v/>
      </c>
      <c r="E24" s="41" t="inlineStr">
        <is>
          <t>MEPMEAE001+MEPMEAT002</t>
        </is>
      </c>
      <c r="F24" s="53" t="n">
        <v>23</v>
      </c>
    </row>
    <row r="25">
      <c r="A25" s="51" t="inlineStr">
        <is>
          <t>INSMIOM001</t>
        </is>
      </c>
      <c r="B25" s="45" t="n">
        <v>334</v>
      </c>
      <c r="C25" s="46" t="n">
        <v>0.0001042506485233083</v>
      </c>
      <c r="D25" s="45">
        <f>B25</f>
        <v/>
      </c>
      <c r="F25" s="53" t="n">
        <v>24</v>
      </c>
    </row>
    <row r="26">
      <c r="A26" s="51" t="inlineStr">
        <is>
          <t>INPPREVIND</t>
        </is>
      </c>
      <c r="B26" s="45" t="n">
        <v>691892</v>
      </c>
      <c r="C26" s="46" t="n">
        <v>0.2159586518206252</v>
      </c>
      <c r="D26" s="45">
        <f>B26</f>
        <v/>
      </c>
      <c r="F26" s="53" t="n">
        <v>25</v>
      </c>
    </row>
    <row r="27">
      <c r="A27" s="51" t="inlineStr">
        <is>
          <t>MEPMENP002</t>
        </is>
      </c>
      <c r="B27" s="45" t="n">
        <v>96052</v>
      </c>
      <c r="C27" s="46" t="n">
        <v>0.02998048889808625</v>
      </c>
      <c r="D27" s="45">
        <f>B27+B45</f>
        <v/>
      </c>
      <c r="E27" s="41" t="inlineStr">
        <is>
          <t>MEPMENP002+MEPMENP201</t>
        </is>
      </c>
      <c r="F27" s="53" t="n">
        <v>27</v>
      </c>
    </row>
    <row r="28">
      <c r="A28" s="51" t="inlineStr">
        <is>
          <t>INMMISPACT</t>
        </is>
      </c>
      <c r="B28" s="45" t="n">
        <v>3776</v>
      </c>
      <c r="C28" s="46" t="n">
        <v>0.001178594158155725</v>
      </c>
      <c r="D28" s="45">
        <f>B28+B34+B35</f>
        <v/>
      </c>
      <c r="E28" s="41" t="inlineStr">
        <is>
          <t>INMMISPACT + INMMISPAUT + INMMISPRET</t>
        </is>
      </c>
      <c r="F28" s="53" t="n">
        <v>28</v>
      </c>
    </row>
    <row r="29">
      <c r="A29" s="51" t="inlineStr">
        <is>
          <t>INMMSPOJI1</t>
        </is>
      </c>
      <c r="B29" s="45" t="n">
        <v>32432</v>
      </c>
      <c r="C29" s="46" t="n">
        <v>0.01012292524822735</v>
      </c>
      <c r="D29" s="45">
        <f>B29</f>
        <v/>
      </c>
      <c r="F29" s="53" t="n">
        <v>29</v>
      </c>
    </row>
    <row r="30">
      <c r="A30" s="51" t="inlineStr">
        <is>
          <t>INSC2SG</t>
        </is>
      </c>
      <c r="B30" s="45" t="n">
        <v>15651</v>
      </c>
      <c r="C30" s="46" t="n">
        <v>0.004885110479156581</v>
      </c>
      <c r="D30" s="45">
        <f>B30+B37+B38</f>
        <v/>
      </c>
      <c r="E30" s="41" t="inlineStr">
        <is>
          <t>INSC2SG + INSC2SP + INSC2SS</t>
        </is>
      </c>
      <c r="F30" s="53" t="n">
        <v>30</v>
      </c>
    </row>
    <row r="31">
      <c r="A31" s="51" t="inlineStr">
        <is>
          <t>INSMTE0001</t>
        </is>
      </c>
      <c r="B31" s="45" t="n">
        <v>4484</v>
      </c>
      <c r="C31" s="46" t="n">
        <v>0.001399580562809923</v>
      </c>
      <c r="D31" s="45">
        <f>B31+B42</f>
        <v/>
      </c>
      <c r="E31" s="41" t="inlineStr">
        <is>
          <t>INSMTE0001 + INSMTE1001</t>
        </is>
      </c>
      <c r="F31" s="53" t="n">
        <v>31</v>
      </c>
    </row>
    <row r="32">
      <c r="A32" s="51" t="inlineStr">
        <is>
          <t>INMMSPACT1</t>
        </is>
      </c>
      <c r="B32" s="45" t="n">
        <v>169667</v>
      </c>
      <c r="C32" s="46" t="n">
        <v>0.05295776881138967</v>
      </c>
      <c r="D32" s="45">
        <f>B32</f>
        <v/>
      </c>
      <c r="F32" s="53" t="n">
        <v>32</v>
      </c>
    </row>
    <row r="33">
      <c r="A33" s="51" t="inlineStr">
        <is>
          <t>INSMALT001</t>
        </is>
      </c>
      <c r="B33" s="45" t="n">
        <v>22132</v>
      </c>
      <c r="C33" s="46" t="n">
        <v>0.006908010039275027</v>
      </c>
      <c r="D33" s="45">
        <f>B33</f>
        <v/>
      </c>
      <c r="F33" s="53" t="n">
        <v>33</v>
      </c>
    </row>
    <row r="34">
      <c r="A34" s="51" t="inlineStr">
        <is>
          <t>INMMISPAUT</t>
        </is>
      </c>
      <c r="B34" s="45" t="n">
        <v>1771</v>
      </c>
      <c r="C34" s="46" t="n">
        <v>0.0005527781393256856</v>
      </c>
    </row>
    <row r="35">
      <c r="A35" s="51" t="inlineStr">
        <is>
          <t>INMMISPRET</t>
        </is>
      </c>
      <c r="B35" s="45" t="n">
        <v>5674</v>
      </c>
      <c r="C35" s="46" t="n">
        <v>0.001771012514135483</v>
      </c>
    </row>
    <row r="36">
      <c r="A36" s="51" t="inlineStr">
        <is>
          <t>INPMAS001</t>
        </is>
      </c>
      <c r="B36" s="45" t="n">
        <v>1</v>
      </c>
      <c r="C36" s="46" t="n">
        <v>3.121276901895458e-07</v>
      </c>
    </row>
    <row r="37">
      <c r="A37" s="51" t="inlineStr">
        <is>
          <t>INSC2SP</t>
        </is>
      </c>
      <c r="B37" s="45" t="n">
        <v>10878</v>
      </c>
      <c r="C37" s="46" t="n">
        <v>0.003395325013881879</v>
      </c>
    </row>
    <row r="38">
      <c r="A38" s="51" t="inlineStr">
        <is>
          <t>INSC2SS</t>
        </is>
      </c>
      <c r="B38" s="45" t="n">
        <v>666</v>
      </c>
      <c r="C38" s="46" t="n">
        <v>0.0002078770416662375</v>
      </c>
    </row>
    <row r="39">
      <c r="A39" s="51" t="inlineStr">
        <is>
          <t>INSEFFICIE</t>
        </is>
      </c>
      <c r="B39" s="45" t="n">
        <v>92503</v>
      </c>
      <c r="C39" s="46" t="n">
        <v>0.02887274772560355</v>
      </c>
    </row>
    <row r="40">
      <c r="A40" s="51" t="inlineStr">
        <is>
          <t>INSMAEEPNR</t>
        </is>
      </c>
      <c r="B40" s="45" t="n">
        <v>68</v>
      </c>
      <c r="C40" s="46" t="n">
        <v>2.122468293288911e-05</v>
      </c>
    </row>
    <row r="41">
      <c r="A41" s="51" t="inlineStr">
        <is>
          <t>INSMAEERET</t>
        </is>
      </c>
      <c r="B41" s="45" t="n">
        <v>4192</v>
      </c>
      <c r="C41" s="46" t="n">
        <v>0.001308439277274576</v>
      </c>
    </row>
    <row r="42">
      <c r="A42" s="51" t="inlineStr">
        <is>
          <t>INSMTE1001</t>
        </is>
      </c>
      <c r="B42" s="45" t="n">
        <v>57</v>
      </c>
      <c r="C42" s="46" t="n">
        <v>1.779127834080411e-05</v>
      </c>
    </row>
    <row r="43">
      <c r="A43" s="51" t="inlineStr">
        <is>
          <t>MEPCULT003</t>
        </is>
      </c>
      <c r="B43" s="45" t="n">
        <v>854</v>
      </c>
      <c r="C43" s="46" t="n">
        <v>0.0002665570474218721</v>
      </c>
    </row>
    <row r="44">
      <c r="A44" s="51" t="inlineStr">
        <is>
          <t>MEPMEAT002</t>
        </is>
      </c>
      <c r="B44" s="45" t="n">
        <v>853</v>
      </c>
      <c r="C44" s="46" t="n">
        <v>0.0002662449197316825</v>
      </c>
    </row>
    <row r="45">
      <c r="A45" s="51" t="inlineStr">
        <is>
          <t>MEPMENP201</t>
        </is>
      </c>
      <c r="B45" s="45" t="n">
        <v>274</v>
      </c>
      <c r="C45" s="46" t="n">
        <v>8.552298711193554e-05</v>
      </c>
    </row>
    <row r="46">
      <c r="A46" s="51" t="inlineStr">
        <is>
          <t>MESCULT101</t>
        </is>
      </c>
      <c r="B46" s="45" t="n">
        <v>7</v>
      </c>
      <c r="C46" s="46" t="n">
        <v>2.184893831326821e-06</v>
      </c>
    </row>
    <row r="47">
      <c r="A47" s="51" t="inlineStr">
        <is>
          <t>MESJUAM005</t>
        </is>
      </c>
      <c r="B47" s="45" t="n">
        <v>4</v>
      </c>
      <c r="C47" s="46" t="n">
        <v>1.248510760758183e-06</v>
      </c>
    </row>
    <row r="48">
      <c r="A48" s="51" t="inlineStr">
        <is>
          <t>MESMEAE202</t>
        </is>
      </c>
      <c r="B48" s="45" t="n">
        <v>4288</v>
      </c>
      <c r="C48" s="46" t="n">
        <v>0.001338403535532772</v>
      </c>
    </row>
    <row r="49">
      <c r="A49" s="51" t="inlineStr">
        <is>
          <t>MESMEAE301</t>
        </is>
      </c>
      <c r="B49" s="45" t="n">
        <v>1</v>
      </c>
      <c r="C49" s="46" t="n">
        <v>3.121276901895458e-07</v>
      </c>
    </row>
    <row r="50">
      <c r="A50" s="51" t="inlineStr">
        <is>
          <t>MESMEN2003</t>
        </is>
      </c>
      <c r="B50" s="45" t="n">
        <v>4215</v>
      </c>
      <c r="C50" s="46" t="n">
        <v>0.001315618214148936</v>
      </c>
    </row>
    <row r="51">
      <c r="A51" s="51" t="inlineStr">
        <is>
          <t>MESMEN3001</t>
        </is>
      </c>
      <c r="B51" s="45" t="n">
        <v>744</v>
      </c>
      <c r="C51" s="46" t="n">
        <v>0.0002322230015010221</v>
      </c>
    </row>
    <row r="52">
      <c r="A52" s="51" t="inlineStr">
        <is>
          <t>OFFSUP</t>
        </is>
      </c>
      <c r="B52" s="45" t="n">
        <v>2</v>
      </c>
      <c r="C52" s="46" t="n">
        <v>6.242553803790915e-07</v>
      </c>
    </row>
    <row r="53">
      <c r="A53" s="55" t="inlineStr">
        <is>
          <t>Total général</t>
        </is>
      </c>
      <c r="B53" s="56" t="n">
        <v>3203817</v>
      </c>
      <c r="C53" s="57" t="n">
        <v>1</v>
      </c>
      <c r="D53" s="56">
        <f>B53</f>
        <v/>
      </c>
      <c r="F53" s="63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6" min="1" max="1"/>
    <col width="10" customWidth="1" style="36" min="2" max="2"/>
    <col width="19" customWidth="1" style="36" min="3" max="3"/>
    <col width="16" customWidth="1" style="36" min="4" max="4"/>
    <col width="19" customWidth="1" style="36" min="5" max="5"/>
  </cols>
  <sheetData>
    <row r="1">
      <c r="A1" s="44" t="inlineStr">
        <is>
          <t>offre</t>
        </is>
      </c>
      <c r="B1" s="44" t="inlineStr">
        <is>
          <t>codsoc</t>
        </is>
      </c>
      <c r="C1" s="44" t="inlineStr">
        <is>
          <t>tranche age</t>
        </is>
      </c>
      <c r="D1" s="44" t="inlineStr">
        <is>
          <t>nb pp a date</t>
        </is>
      </c>
      <c r="E1" s="44" t="inlineStr">
        <is>
          <t>nb pp non radie</t>
        </is>
      </c>
    </row>
    <row r="2">
      <c r="A2" s="51" t="inlineStr">
        <is>
          <t>INMMISPACT</t>
        </is>
      </c>
      <c r="B2" s="53" t="inlineStr">
        <is>
          <t>010</t>
        </is>
      </c>
      <c r="C2" s="53" t="inlineStr">
        <is>
          <t>Moins de 20 ans</t>
        </is>
      </c>
      <c r="D2" s="45" t="n">
        <v>2263</v>
      </c>
      <c r="E2" s="45" t="n">
        <v>2268</v>
      </c>
    </row>
    <row r="3">
      <c r="A3" s="51" t="inlineStr">
        <is>
          <t>INMMISPACT</t>
        </is>
      </c>
      <c r="B3" s="53" t="inlineStr">
        <is>
          <t>010</t>
        </is>
      </c>
      <c r="C3" s="53" t="inlineStr">
        <is>
          <t>21 ans 40 ans</t>
        </is>
      </c>
      <c r="D3" s="45" t="n">
        <v>1320</v>
      </c>
      <c r="E3" s="45" t="n">
        <v>1327</v>
      </c>
    </row>
    <row r="4">
      <c r="A4" s="51" t="inlineStr">
        <is>
          <t>INMMISPACT</t>
        </is>
      </c>
      <c r="B4" s="53" t="inlineStr">
        <is>
          <t>010</t>
        </is>
      </c>
      <c r="C4" s="53" t="inlineStr">
        <is>
          <t>41 ans 60 ans</t>
        </is>
      </c>
      <c r="D4" s="45" t="n">
        <v>3110</v>
      </c>
      <c r="E4" s="45" t="n">
        <v>3111</v>
      </c>
    </row>
    <row r="5">
      <c r="A5" s="51" t="inlineStr">
        <is>
          <t>INMMISPACT</t>
        </is>
      </c>
      <c r="B5" s="53" t="inlineStr">
        <is>
          <t>010</t>
        </is>
      </c>
      <c r="C5" s="53" t="inlineStr">
        <is>
          <t>61 ans 80 ans</t>
        </is>
      </c>
      <c r="D5" s="45" t="n">
        <v>657</v>
      </c>
      <c r="E5" s="45" t="n">
        <v>656</v>
      </c>
    </row>
    <row r="6">
      <c r="A6" s="51" t="inlineStr">
        <is>
          <t>INMMISPACT</t>
        </is>
      </c>
      <c r="B6" s="53" t="inlineStr">
        <is>
          <t>010</t>
        </is>
      </c>
      <c r="C6" s="53" t="inlineStr">
        <is>
          <t>Plus de 80 ans</t>
        </is>
      </c>
      <c r="D6" s="45" t="n">
        <v>3</v>
      </c>
      <c r="E6" s="45" t="n">
        <v>3</v>
      </c>
    </row>
    <row r="7">
      <c r="A7" s="51" t="inlineStr">
        <is>
          <t>INMMISPAUT</t>
        </is>
      </c>
      <c r="B7" s="53" t="inlineStr">
        <is>
          <t>010</t>
        </is>
      </c>
      <c r="C7" s="53" t="inlineStr">
        <is>
          <t>Moins de 20 ans</t>
        </is>
      </c>
      <c r="D7" s="45" t="n">
        <v>423</v>
      </c>
      <c r="E7" s="45" t="n">
        <v>425</v>
      </c>
    </row>
    <row r="8">
      <c r="A8" s="51" t="inlineStr">
        <is>
          <t>INMMISPAUT</t>
        </is>
      </c>
      <c r="B8" s="53" t="inlineStr">
        <is>
          <t>010</t>
        </is>
      </c>
      <c r="C8" s="53" t="inlineStr">
        <is>
          <t>21 ans 40 ans</t>
        </is>
      </c>
      <c r="D8" s="45" t="n">
        <v>711</v>
      </c>
      <c r="E8" s="45" t="n">
        <v>710</v>
      </c>
    </row>
    <row r="9">
      <c r="A9" s="51" t="inlineStr">
        <is>
          <t>INMMISPAUT</t>
        </is>
      </c>
      <c r="B9" s="53" t="inlineStr">
        <is>
          <t>010</t>
        </is>
      </c>
      <c r="C9" s="53" t="inlineStr">
        <is>
          <t>41 ans 60 ans</t>
        </is>
      </c>
      <c r="D9" s="45" t="n">
        <v>738</v>
      </c>
      <c r="E9" s="45" t="n">
        <v>738</v>
      </c>
    </row>
    <row r="10">
      <c r="A10" s="51" t="inlineStr">
        <is>
          <t>INMMISPAUT</t>
        </is>
      </c>
      <c r="B10" s="53" t="inlineStr">
        <is>
          <t>010</t>
        </is>
      </c>
      <c r="C10" s="53" t="inlineStr">
        <is>
          <t>61 ans 80 ans</t>
        </is>
      </c>
      <c r="D10" s="45" t="n">
        <v>406</v>
      </c>
      <c r="E10" s="45" t="n">
        <v>406</v>
      </c>
    </row>
    <row r="11">
      <c r="A11" s="51" t="inlineStr">
        <is>
          <t>INMMISPAUT</t>
        </is>
      </c>
      <c r="B11" s="53" t="inlineStr">
        <is>
          <t>010</t>
        </is>
      </c>
      <c r="C11" s="53" t="inlineStr">
        <is>
          <t>Plus de 80 ans</t>
        </is>
      </c>
      <c r="D11" s="45" t="n">
        <v>141</v>
      </c>
      <c r="E11" s="45" t="n">
        <v>141</v>
      </c>
    </row>
    <row r="12">
      <c r="A12" s="51" t="inlineStr">
        <is>
          <t>INMMISPRET</t>
        </is>
      </c>
      <c r="B12" s="53" t="inlineStr">
        <is>
          <t>010</t>
        </is>
      </c>
      <c r="C12" s="53" t="inlineStr">
        <is>
          <t>Moins de 20 ans</t>
        </is>
      </c>
      <c r="D12" s="45" t="n">
        <v>156</v>
      </c>
      <c r="E12" s="45" t="n">
        <v>156</v>
      </c>
    </row>
    <row r="13">
      <c r="A13" s="51" t="inlineStr">
        <is>
          <t>INMMISPRET</t>
        </is>
      </c>
      <c r="B13" s="53" t="inlineStr">
        <is>
          <t>010</t>
        </is>
      </c>
      <c r="C13" s="53" t="inlineStr">
        <is>
          <t>21 ans 40 ans</t>
        </is>
      </c>
      <c r="D13" s="45" t="n">
        <v>260</v>
      </c>
      <c r="E13" s="45" t="n">
        <v>260</v>
      </c>
    </row>
    <row r="14">
      <c r="A14" s="51" t="inlineStr">
        <is>
          <t>INMMISPRET</t>
        </is>
      </c>
      <c r="B14" s="53" t="inlineStr">
        <is>
          <t>010</t>
        </is>
      </c>
      <c r="C14" s="53" t="inlineStr">
        <is>
          <t>41 ans 60 ans</t>
        </is>
      </c>
      <c r="D14" s="45" t="n">
        <v>339</v>
      </c>
      <c r="E14" s="45" t="n">
        <v>339</v>
      </c>
    </row>
    <row r="15">
      <c r="A15" s="51" t="inlineStr">
        <is>
          <t>INMMISPRET</t>
        </is>
      </c>
      <c r="B15" s="53" t="inlineStr">
        <is>
          <t>010</t>
        </is>
      </c>
      <c r="C15" s="53" t="inlineStr">
        <is>
          <t>61 ans 80 ans</t>
        </is>
      </c>
      <c r="D15" s="45" t="n">
        <v>5123</v>
      </c>
      <c r="E15" s="45" t="n">
        <v>5123</v>
      </c>
    </row>
    <row r="16">
      <c r="A16" s="51" t="inlineStr">
        <is>
          <t>INMMISPRET</t>
        </is>
      </c>
      <c r="B16" s="53" t="inlineStr">
        <is>
          <t>010</t>
        </is>
      </c>
      <c r="C16" s="53" t="inlineStr">
        <is>
          <t>Plus de 80 ans</t>
        </is>
      </c>
      <c r="D16" s="45" t="n">
        <v>1594</v>
      </c>
      <c r="E16" s="45" t="n">
        <v>1594</v>
      </c>
    </row>
    <row r="17">
      <c r="A17" s="51" t="inlineStr">
        <is>
          <t>INMMSPACT1</t>
        </is>
      </c>
      <c r="B17" s="53" t="inlineStr">
        <is>
          <t>010</t>
        </is>
      </c>
      <c r="C17" s="53" t="inlineStr">
        <is>
          <t>Moins de 20 ans</t>
        </is>
      </c>
      <c r="D17" s="45" t="n">
        <v>34037</v>
      </c>
      <c r="E17" s="45" t="n">
        <v>34038</v>
      </c>
    </row>
    <row r="18">
      <c r="A18" s="51" t="inlineStr">
        <is>
          <t>INMMSPACT1</t>
        </is>
      </c>
      <c r="B18" s="53" t="inlineStr">
        <is>
          <t>010</t>
        </is>
      </c>
      <c r="C18" s="53" t="inlineStr">
        <is>
          <t>21 ans 40 ans</t>
        </is>
      </c>
      <c r="D18" s="45" t="n">
        <v>45408</v>
      </c>
      <c r="E18" s="45" t="n">
        <v>45411</v>
      </c>
    </row>
    <row r="19">
      <c r="A19" s="51" t="inlineStr">
        <is>
          <t>INMMSPACT1</t>
        </is>
      </c>
      <c r="B19" s="53" t="inlineStr">
        <is>
          <t>010</t>
        </is>
      </c>
      <c r="C19" s="53" t="inlineStr">
        <is>
          <t>41 ans 60 ans</t>
        </is>
      </c>
      <c r="D19" s="45" t="n">
        <v>58757</v>
      </c>
      <c r="E19" s="45" t="n">
        <v>58758</v>
      </c>
    </row>
    <row r="20">
      <c r="A20" s="51" t="inlineStr">
        <is>
          <t>INMMSPACT1</t>
        </is>
      </c>
      <c r="B20" s="53" t="inlineStr">
        <is>
          <t>010</t>
        </is>
      </c>
      <c r="C20" s="53" t="inlineStr">
        <is>
          <t>61 ans 80 ans</t>
        </is>
      </c>
      <c r="D20" s="45" t="n">
        <v>57945</v>
      </c>
      <c r="E20" s="45" t="n">
        <v>57946</v>
      </c>
    </row>
    <row r="21">
      <c r="A21" s="51" t="inlineStr">
        <is>
          <t>INMMSPACT1</t>
        </is>
      </c>
      <c r="B21" s="53" t="inlineStr">
        <is>
          <t>010</t>
        </is>
      </c>
      <c r="C21" s="53" t="inlineStr">
        <is>
          <t>Plus de 80 ans</t>
        </is>
      </c>
      <c r="D21" s="45" t="n">
        <v>27273</v>
      </c>
      <c r="E21" s="45" t="n">
        <v>27273</v>
      </c>
    </row>
    <row r="22">
      <c r="A22" s="51" t="inlineStr">
        <is>
          <t>INMMSPOJI1</t>
        </is>
      </c>
      <c r="B22" s="53" t="inlineStr">
        <is>
          <t>010</t>
        </is>
      </c>
      <c r="C22" s="53" t="inlineStr">
        <is>
          <t>Moins de 20 ans</t>
        </is>
      </c>
      <c r="D22" s="45" t="n">
        <v>5098</v>
      </c>
      <c r="E22" s="45" t="n">
        <v>5105</v>
      </c>
    </row>
    <row r="23">
      <c r="A23" s="51" t="inlineStr">
        <is>
          <t>INMMSPOJI1</t>
        </is>
      </c>
      <c r="B23" s="53" t="inlineStr">
        <is>
          <t>010</t>
        </is>
      </c>
      <c r="C23" s="53" t="inlineStr">
        <is>
          <t>21 ans 40 ans</t>
        </is>
      </c>
      <c r="D23" s="45" t="n">
        <v>27307</v>
      </c>
      <c r="E23" s="45" t="n">
        <v>27318</v>
      </c>
    </row>
    <row r="24">
      <c r="A24" s="51" t="inlineStr">
        <is>
          <t>INMMSPOJI1</t>
        </is>
      </c>
      <c r="B24" s="53" t="inlineStr">
        <is>
          <t>010</t>
        </is>
      </c>
      <c r="C24" s="53" t="inlineStr">
        <is>
          <t>41 ans 60 ans</t>
        </is>
      </c>
      <c r="D24" s="45" t="n">
        <v>8</v>
      </c>
      <c r="E24" s="45" t="n">
        <v>8</v>
      </c>
    </row>
    <row r="25">
      <c r="A25" s="51" t="inlineStr">
        <is>
          <t>INMMSPOJI1</t>
        </is>
      </c>
      <c r="B25" s="53" t="inlineStr">
        <is>
          <t>010</t>
        </is>
      </c>
      <c r="C25" s="53" t="inlineStr">
        <is>
          <t>61 ans 80 ans</t>
        </is>
      </c>
      <c r="D25" s="45" t="n">
        <v>1</v>
      </c>
      <c r="E25" s="45" t="n">
        <v>1</v>
      </c>
    </row>
    <row r="26">
      <c r="A26" s="51" t="inlineStr">
        <is>
          <t>INMMSPRET1</t>
        </is>
      </c>
      <c r="B26" s="53" t="inlineStr">
        <is>
          <t>010</t>
        </is>
      </c>
      <c r="C26" s="53" t="inlineStr">
        <is>
          <t>Moins de 20 ans</t>
        </is>
      </c>
      <c r="D26" s="45" t="n">
        <v>4784</v>
      </c>
      <c r="E26" s="45" t="n">
        <v>4785</v>
      </c>
    </row>
    <row r="27">
      <c r="A27" s="51" t="inlineStr">
        <is>
          <t>INMMSPRET1</t>
        </is>
      </c>
      <c r="B27" s="53" t="inlineStr">
        <is>
          <t>010</t>
        </is>
      </c>
      <c r="C27" s="53" t="inlineStr">
        <is>
          <t>21 ans 40 ans</t>
        </is>
      </c>
      <c r="D27" s="45" t="n">
        <v>14042</v>
      </c>
      <c r="E27" s="45" t="n">
        <v>14042</v>
      </c>
    </row>
    <row r="28">
      <c r="A28" s="51" t="inlineStr">
        <is>
          <t>INMMSPRET1</t>
        </is>
      </c>
      <c r="B28" s="53" t="inlineStr">
        <is>
          <t>010</t>
        </is>
      </c>
      <c r="C28" s="53" t="inlineStr">
        <is>
          <t>41 ans 60 ans</t>
        </is>
      </c>
      <c r="D28" s="45" t="n">
        <v>15503</v>
      </c>
      <c r="E28" s="45" t="n">
        <v>15507</v>
      </c>
    </row>
    <row r="29">
      <c r="A29" s="51" t="inlineStr">
        <is>
          <t>INMMSPRET1</t>
        </is>
      </c>
      <c r="B29" s="53" t="inlineStr">
        <is>
          <t>010</t>
        </is>
      </c>
      <c r="C29" s="53" t="inlineStr">
        <is>
          <t>61 ans 80 ans</t>
        </is>
      </c>
      <c r="D29" s="45" t="n">
        <v>628345</v>
      </c>
      <c r="E29" s="45" t="n">
        <v>628360</v>
      </c>
    </row>
    <row r="30">
      <c r="A30" s="51" t="inlineStr">
        <is>
          <t>INMMSPRET1</t>
        </is>
      </c>
      <c r="B30" s="53" t="inlineStr">
        <is>
          <t>010</t>
        </is>
      </c>
      <c r="C30" s="53" t="inlineStr">
        <is>
          <t>Plus de 80 ans</t>
        </is>
      </c>
      <c r="D30" s="45" t="n">
        <v>268065</v>
      </c>
      <c r="E30" s="45" t="n">
        <v>268066</v>
      </c>
    </row>
    <row r="31">
      <c r="A31" s="51" t="inlineStr">
        <is>
          <t>INPCULT002</t>
        </is>
      </c>
      <c r="B31" s="53" t="inlineStr">
        <is>
          <t>010</t>
        </is>
      </c>
      <c r="C31" s="53" t="inlineStr">
        <is>
          <t>41 ans 60 ans</t>
        </is>
      </c>
      <c r="D31" s="45" t="n">
        <v>3</v>
      </c>
      <c r="E31" s="45" t="n">
        <v>3</v>
      </c>
    </row>
    <row r="32">
      <c r="A32" s="51" t="inlineStr">
        <is>
          <t>INPCULT002</t>
        </is>
      </c>
      <c r="B32" s="53" t="inlineStr">
        <is>
          <t>010</t>
        </is>
      </c>
      <c r="C32" s="53" t="inlineStr">
        <is>
          <t>61 ans 80 ans</t>
        </is>
      </c>
      <c r="D32" s="45" t="n">
        <v>7</v>
      </c>
      <c r="E32" s="45" t="n">
        <v>7</v>
      </c>
    </row>
    <row r="33">
      <c r="A33" s="51" t="inlineStr">
        <is>
          <t>INPMAS001</t>
        </is>
      </c>
      <c r="B33" s="53" t="inlineStr">
        <is>
          <t>073</t>
        </is>
      </c>
      <c r="C33" s="53" t="inlineStr">
        <is>
          <t>61 ans 80 ans</t>
        </is>
      </c>
      <c r="D33" s="45" t="n">
        <v>2</v>
      </c>
      <c r="E33" s="45" t="n">
        <v>2</v>
      </c>
    </row>
    <row r="34">
      <c r="A34" s="51" t="inlineStr">
        <is>
          <t>INPPREVIND</t>
        </is>
      </c>
      <c r="B34" s="53" t="inlineStr">
        <is>
          <t>010</t>
        </is>
      </c>
      <c r="C34" s="53" t="inlineStr">
        <is>
          <t>Moins de 20 ans</t>
        </is>
      </c>
      <c r="D34" s="45" t="n">
        <v>255</v>
      </c>
      <c r="E34" s="45" t="n">
        <v>264</v>
      </c>
    </row>
    <row r="35">
      <c r="A35" s="51" t="inlineStr">
        <is>
          <t>INPPREVIND</t>
        </is>
      </c>
      <c r="B35" s="53" t="inlineStr">
        <is>
          <t>010</t>
        </is>
      </c>
      <c r="C35" s="53" t="inlineStr">
        <is>
          <t>21 ans 40 ans</t>
        </is>
      </c>
      <c r="D35" s="45" t="n">
        <v>180876</v>
      </c>
      <c r="E35" s="45" t="n">
        <v>181642</v>
      </c>
    </row>
    <row r="36">
      <c r="A36" s="51" t="inlineStr">
        <is>
          <t>INPPREVIND</t>
        </is>
      </c>
      <c r="B36" s="53" t="inlineStr">
        <is>
          <t>010</t>
        </is>
      </c>
      <c r="C36" s="53" t="inlineStr">
        <is>
          <t>41 ans 60 ans</t>
        </is>
      </c>
      <c r="D36" s="45" t="n">
        <v>431553</v>
      </c>
      <c r="E36" s="45" t="n">
        <v>431742</v>
      </c>
    </row>
    <row r="37">
      <c r="A37" s="51" t="inlineStr">
        <is>
          <t>INPPREVIND</t>
        </is>
      </c>
      <c r="B37" s="53" t="inlineStr">
        <is>
          <t>010</t>
        </is>
      </c>
      <c r="C37" s="53" t="inlineStr">
        <is>
          <t>61 ans 80 ans</t>
        </is>
      </c>
      <c r="D37" s="45" t="n">
        <v>78190</v>
      </c>
      <c r="E37" s="45" t="n">
        <v>78192</v>
      </c>
    </row>
    <row r="38">
      <c r="A38" s="51" t="inlineStr">
        <is>
          <t>INPPREVIND</t>
        </is>
      </c>
      <c r="B38" s="53" t="inlineStr">
        <is>
          <t>010</t>
        </is>
      </c>
      <c r="C38" s="53" t="inlineStr">
        <is>
          <t>Plus de 80 ans</t>
        </is>
      </c>
      <c r="D38" s="45" t="n">
        <v>2</v>
      </c>
      <c r="E38" s="45" t="n">
        <v>2</v>
      </c>
    </row>
    <row r="39">
      <c r="A39" s="51" t="inlineStr">
        <is>
          <t>INPPREVIND</t>
        </is>
      </c>
      <c r="B39" s="53" t="inlineStr">
        <is>
          <t>010</t>
        </is>
      </c>
      <c r="C39" s="53" t="n">
        <v/>
      </c>
      <c r="D39" s="45" t="n">
        <v/>
      </c>
      <c r="E39" s="45" t="n">
        <v>50</v>
      </c>
    </row>
    <row r="40">
      <c r="A40" s="51" t="inlineStr">
        <is>
          <t>INSC2SG</t>
        </is>
      </c>
      <c r="B40" s="53" t="inlineStr">
        <is>
          <t>010</t>
        </is>
      </c>
      <c r="C40" s="53" t="inlineStr">
        <is>
          <t>Moins de 20 ans</t>
        </is>
      </c>
      <c r="D40" s="45" t="n">
        <v>7045</v>
      </c>
      <c r="E40" s="45" t="n">
        <v>7237</v>
      </c>
    </row>
    <row r="41">
      <c r="A41" s="51" t="inlineStr">
        <is>
          <t>INSC2SG</t>
        </is>
      </c>
      <c r="B41" s="53" t="inlineStr">
        <is>
          <t>010</t>
        </is>
      </c>
      <c r="C41" s="53" t="inlineStr">
        <is>
          <t>21 ans 40 ans</t>
        </is>
      </c>
      <c r="D41" s="45" t="n">
        <v>8484</v>
      </c>
      <c r="E41" s="45" t="n">
        <v>8779</v>
      </c>
    </row>
    <row r="42">
      <c r="A42" s="51" t="inlineStr">
        <is>
          <t>INSC2SG</t>
        </is>
      </c>
      <c r="B42" s="53" t="inlineStr">
        <is>
          <t>010</t>
        </is>
      </c>
      <c r="C42" s="53" t="inlineStr">
        <is>
          <t>41 ans 60 ans</t>
        </is>
      </c>
      <c r="D42" s="45" t="n">
        <v>4812</v>
      </c>
      <c r="E42" s="45" t="n">
        <v>4984</v>
      </c>
    </row>
    <row r="43">
      <c r="A43" s="51" t="inlineStr">
        <is>
          <t>INSC2SG</t>
        </is>
      </c>
      <c r="B43" s="53" t="inlineStr">
        <is>
          <t>010</t>
        </is>
      </c>
      <c r="C43" s="53" t="inlineStr">
        <is>
          <t>61 ans 80 ans</t>
        </is>
      </c>
      <c r="D43" s="45" t="n">
        <v>1235</v>
      </c>
      <c r="E43" s="45" t="n">
        <v>1283</v>
      </c>
    </row>
    <row r="44">
      <c r="A44" s="51" t="inlineStr">
        <is>
          <t>INSC2SG</t>
        </is>
      </c>
      <c r="B44" s="53" t="inlineStr">
        <is>
          <t>010</t>
        </is>
      </c>
      <c r="C44" s="53" t="inlineStr">
        <is>
          <t>Plus de 80 ans</t>
        </is>
      </c>
      <c r="D44" s="45" t="n">
        <v>81</v>
      </c>
      <c r="E44" s="45" t="n">
        <v>84</v>
      </c>
    </row>
    <row r="45">
      <c r="A45" s="51" t="inlineStr">
        <is>
          <t>INSC2SP</t>
        </is>
      </c>
      <c r="B45" s="53" t="inlineStr">
        <is>
          <t>010</t>
        </is>
      </c>
      <c r="C45" s="53" t="inlineStr">
        <is>
          <t>Moins de 20 ans</t>
        </is>
      </c>
      <c r="D45" s="45" t="n">
        <v>4759</v>
      </c>
      <c r="E45" s="45" t="n">
        <v>4891</v>
      </c>
    </row>
    <row r="46">
      <c r="A46" s="51" t="inlineStr">
        <is>
          <t>INSC2SP</t>
        </is>
      </c>
      <c r="B46" s="53" t="inlineStr">
        <is>
          <t>010</t>
        </is>
      </c>
      <c r="C46" s="53" t="inlineStr">
        <is>
          <t>21 ans 40 ans</t>
        </is>
      </c>
      <c r="D46" s="45" t="n">
        <v>2879</v>
      </c>
      <c r="E46" s="45" t="n">
        <v>2996</v>
      </c>
    </row>
    <row r="47">
      <c r="A47" s="51" t="inlineStr">
        <is>
          <t>INSC2SP</t>
        </is>
      </c>
      <c r="B47" s="53" t="inlineStr">
        <is>
          <t>010</t>
        </is>
      </c>
      <c r="C47" s="53" t="inlineStr">
        <is>
          <t>41 ans 60 ans</t>
        </is>
      </c>
      <c r="D47" s="45" t="n">
        <v>4380</v>
      </c>
      <c r="E47" s="45" t="n">
        <v>4657</v>
      </c>
    </row>
    <row r="48">
      <c r="A48" s="51" t="inlineStr">
        <is>
          <t>INSC2SP</t>
        </is>
      </c>
      <c r="B48" s="53" t="inlineStr">
        <is>
          <t>010</t>
        </is>
      </c>
      <c r="C48" s="53" t="inlineStr">
        <is>
          <t>61 ans 80 ans</t>
        </is>
      </c>
      <c r="D48" s="45" t="n">
        <v>3429</v>
      </c>
      <c r="E48" s="45" t="n">
        <v>3712</v>
      </c>
    </row>
    <row r="49">
      <c r="A49" s="51" t="inlineStr">
        <is>
          <t>INSC2SP</t>
        </is>
      </c>
      <c r="B49" s="53" t="inlineStr">
        <is>
          <t>010</t>
        </is>
      </c>
      <c r="C49" s="53" t="inlineStr">
        <is>
          <t>Plus de 80 ans</t>
        </is>
      </c>
      <c r="D49" s="45" t="n">
        <v>573</v>
      </c>
      <c r="E49" s="45" t="n">
        <v>632</v>
      </c>
    </row>
    <row r="50">
      <c r="A50" s="51" t="inlineStr">
        <is>
          <t>INSC2SP</t>
        </is>
      </c>
      <c r="B50" s="53" t="inlineStr">
        <is>
          <t>010</t>
        </is>
      </c>
      <c r="C50" s="53" t="n">
        <v/>
      </c>
      <c r="D50" s="45" t="n">
        <v/>
      </c>
      <c r="E50" s="45" t="n">
        <v>1</v>
      </c>
    </row>
    <row r="51">
      <c r="A51" s="51" t="inlineStr">
        <is>
          <t>INSC2SS</t>
        </is>
      </c>
      <c r="B51" s="53" t="inlineStr">
        <is>
          <t>010</t>
        </is>
      </c>
      <c r="C51" s="53" t="inlineStr">
        <is>
          <t>Moins de 20 ans</t>
        </is>
      </c>
      <c r="D51" s="45" t="n">
        <v>304</v>
      </c>
      <c r="E51" s="45" t="n">
        <v>304</v>
      </c>
    </row>
    <row r="52">
      <c r="A52" s="51" t="inlineStr">
        <is>
          <t>INSC2SS</t>
        </is>
      </c>
      <c r="B52" s="53" t="inlineStr">
        <is>
          <t>010</t>
        </is>
      </c>
      <c r="C52" s="53" t="inlineStr">
        <is>
          <t>21 ans 40 ans</t>
        </is>
      </c>
      <c r="D52" s="45" t="n">
        <v>265</v>
      </c>
      <c r="E52" s="45" t="n">
        <v>265</v>
      </c>
    </row>
    <row r="53">
      <c r="A53" s="51" t="inlineStr">
        <is>
          <t>INSC2SS</t>
        </is>
      </c>
      <c r="B53" s="53" t="inlineStr">
        <is>
          <t>010</t>
        </is>
      </c>
      <c r="C53" s="53" t="inlineStr">
        <is>
          <t>41 ans 60 ans</t>
        </is>
      </c>
      <c r="D53" s="45" t="n">
        <v>268</v>
      </c>
      <c r="E53" s="45" t="n">
        <v>268</v>
      </c>
    </row>
    <row r="54">
      <c r="A54" s="51" t="inlineStr">
        <is>
          <t>INSC2SS</t>
        </is>
      </c>
      <c r="B54" s="53" t="inlineStr">
        <is>
          <t>010</t>
        </is>
      </c>
      <c r="C54" s="53" t="inlineStr">
        <is>
          <t>61 ans 80 ans</t>
        </is>
      </c>
      <c r="D54" s="45" t="n">
        <v>215</v>
      </c>
      <c r="E54" s="45" t="n">
        <v>216</v>
      </c>
    </row>
    <row r="55">
      <c r="A55" s="51" t="inlineStr">
        <is>
          <t>INSC2SS</t>
        </is>
      </c>
      <c r="B55" s="53" t="inlineStr">
        <is>
          <t>010</t>
        </is>
      </c>
      <c r="C55" s="53" t="inlineStr">
        <is>
          <t>Plus de 80 ans</t>
        </is>
      </c>
      <c r="D55" s="45" t="n">
        <v>23</v>
      </c>
      <c r="E55" s="45" t="n">
        <v>23</v>
      </c>
    </row>
    <row r="56">
      <c r="A56" s="51" t="inlineStr">
        <is>
          <t>INSEFFBRED</t>
        </is>
      </c>
      <c r="B56" s="53" t="inlineStr">
        <is>
          <t>010</t>
        </is>
      </c>
      <c r="C56" s="53" t="inlineStr">
        <is>
          <t>Moins de 20 ans</t>
        </is>
      </c>
      <c r="D56" s="45" t="n">
        <v>148</v>
      </c>
      <c r="E56" s="45" t="n">
        <v>148</v>
      </c>
    </row>
    <row r="57">
      <c r="A57" s="51" t="inlineStr">
        <is>
          <t>INSEFFBRED</t>
        </is>
      </c>
      <c r="B57" s="53" t="inlineStr">
        <is>
          <t>010</t>
        </is>
      </c>
      <c r="C57" s="53" t="inlineStr">
        <is>
          <t>21 ans 40 ans</t>
        </is>
      </c>
      <c r="D57" s="45" t="n">
        <v>200</v>
      </c>
      <c r="E57" s="45" t="n">
        <v>200</v>
      </c>
    </row>
    <row r="58">
      <c r="A58" s="51" t="inlineStr">
        <is>
          <t>INSEFFBRED</t>
        </is>
      </c>
      <c r="B58" s="53" t="inlineStr">
        <is>
          <t>010</t>
        </is>
      </c>
      <c r="C58" s="53" t="inlineStr">
        <is>
          <t>41 ans 60 ans</t>
        </is>
      </c>
      <c r="D58" s="45" t="n">
        <v>211</v>
      </c>
      <c r="E58" s="45" t="n">
        <v>211</v>
      </c>
    </row>
    <row r="59">
      <c r="A59" s="51" t="inlineStr">
        <is>
          <t>INSEFFBRED</t>
        </is>
      </c>
      <c r="B59" s="53" t="inlineStr">
        <is>
          <t>010</t>
        </is>
      </c>
      <c r="C59" s="53" t="inlineStr">
        <is>
          <t>61 ans 80 ans</t>
        </is>
      </c>
      <c r="D59" s="45" t="n">
        <v>278</v>
      </c>
      <c r="E59" s="45" t="n">
        <v>279</v>
      </c>
    </row>
    <row r="60">
      <c r="A60" s="51" t="inlineStr">
        <is>
          <t>INSEFFBRED</t>
        </is>
      </c>
      <c r="B60" s="53" t="inlineStr">
        <is>
          <t>010</t>
        </is>
      </c>
      <c r="C60" s="53" t="inlineStr">
        <is>
          <t>Plus de 80 ans</t>
        </is>
      </c>
      <c r="D60" s="45" t="n">
        <v>68</v>
      </c>
      <c r="E60" s="45" t="n">
        <v>68</v>
      </c>
    </row>
    <row r="61">
      <c r="A61" s="51" t="inlineStr">
        <is>
          <t>INSEFFICIE</t>
        </is>
      </c>
      <c r="B61" s="53" t="inlineStr">
        <is>
          <t>010</t>
        </is>
      </c>
      <c r="C61" s="53" t="inlineStr">
        <is>
          <t>Moins de 20 ans</t>
        </is>
      </c>
      <c r="D61" s="45" t="n">
        <v>18151</v>
      </c>
      <c r="E61" s="45" t="n">
        <v>18171</v>
      </c>
    </row>
    <row r="62">
      <c r="A62" s="51" t="inlineStr">
        <is>
          <t>INSEFFICIE</t>
        </is>
      </c>
      <c r="B62" s="53" t="inlineStr">
        <is>
          <t>010</t>
        </is>
      </c>
      <c r="C62" s="53" t="inlineStr">
        <is>
          <t>21 ans 40 ans</t>
        </is>
      </c>
      <c r="D62" s="45" t="n">
        <v>33037</v>
      </c>
      <c r="E62" s="45" t="n">
        <v>33048</v>
      </c>
    </row>
    <row r="63">
      <c r="A63" s="51" t="inlineStr">
        <is>
          <t>INSEFFICIE</t>
        </is>
      </c>
      <c r="B63" s="53" t="inlineStr">
        <is>
          <t>010</t>
        </is>
      </c>
      <c r="C63" s="53" t="inlineStr">
        <is>
          <t>41 ans 60 ans</t>
        </is>
      </c>
      <c r="D63" s="45" t="n">
        <v>31255</v>
      </c>
      <c r="E63" s="45" t="n">
        <v>31255</v>
      </c>
    </row>
    <row r="64">
      <c r="A64" s="51" t="inlineStr">
        <is>
          <t>INSEFFICIE</t>
        </is>
      </c>
      <c r="B64" s="53" t="inlineStr">
        <is>
          <t>010</t>
        </is>
      </c>
      <c r="C64" s="53" t="inlineStr">
        <is>
          <t>61 ans 80 ans</t>
        </is>
      </c>
      <c r="D64" s="45" t="n">
        <v>24698</v>
      </c>
      <c r="E64" s="45" t="n">
        <v>24716</v>
      </c>
    </row>
    <row r="65">
      <c r="A65" s="51" t="inlineStr">
        <is>
          <t>INSEFFICIE</t>
        </is>
      </c>
      <c r="B65" s="53" t="inlineStr">
        <is>
          <t>010</t>
        </is>
      </c>
      <c r="C65" s="53" t="inlineStr">
        <is>
          <t>Plus de 80 ans</t>
        </is>
      </c>
      <c r="D65" s="45" t="n">
        <v>4816</v>
      </c>
      <c r="E65" s="45" t="n">
        <v>4816</v>
      </c>
    </row>
    <row r="66">
      <c r="A66" s="51" t="inlineStr">
        <is>
          <t>INSMAEEPNR</t>
        </is>
      </c>
      <c r="B66" s="53" t="inlineStr">
        <is>
          <t>044</t>
        </is>
      </c>
      <c r="C66" s="53" t="inlineStr">
        <is>
          <t>Moins de 20 ans</t>
        </is>
      </c>
      <c r="D66" s="45" t="n">
        <v>8</v>
      </c>
      <c r="E66" s="45" t="n">
        <v>8</v>
      </c>
    </row>
    <row r="67">
      <c r="A67" s="51" t="inlineStr">
        <is>
          <t>INSMAEEPNR</t>
        </is>
      </c>
      <c r="B67" s="53" t="inlineStr">
        <is>
          <t>044</t>
        </is>
      </c>
      <c r="C67" s="53" t="inlineStr">
        <is>
          <t>21 ans 40 ans</t>
        </is>
      </c>
      <c r="D67" s="45" t="n">
        <v>6</v>
      </c>
      <c r="E67" s="45" t="n">
        <v>6</v>
      </c>
    </row>
    <row r="68">
      <c r="A68" s="51" t="inlineStr">
        <is>
          <t>INSMAEEPNR</t>
        </is>
      </c>
      <c r="B68" s="53" t="inlineStr">
        <is>
          <t>044</t>
        </is>
      </c>
      <c r="C68" s="53" t="inlineStr">
        <is>
          <t>41 ans 60 ans</t>
        </is>
      </c>
      <c r="D68" s="45" t="n">
        <v>9</v>
      </c>
      <c r="E68" s="45" t="n">
        <v>9</v>
      </c>
    </row>
    <row r="69">
      <c r="A69" s="51" t="inlineStr">
        <is>
          <t>INSMAEEPNR</t>
        </is>
      </c>
      <c r="B69" s="53" t="inlineStr">
        <is>
          <t>044</t>
        </is>
      </c>
      <c r="C69" s="53" t="inlineStr">
        <is>
          <t>61 ans 80 ans</t>
        </is>
      </c>
      <c r="D69" s="45" t="n">
        <v>68</v>
      </c>
      <c r="E69" s="45" t="n">
        <v>68</v>
      </c>
    </row>
    <row r="70">
      <c r="A70" s="51" t="inlineStr">
        <is>
          <t>INSMAEEPNR</t>
        </is>
      </c>
      <c r="B70" s="53" t="inlineStr">
        <is>
          <t>044</t>
        </is>
      </c>
      <c r="C70" s="53" t="inlineStr">
        <is>
          <t>Plus de 80 ans</t>
        </is>
      </c>
      <c r="D70" s="45" t="n">
        <v>14</v>
      </c>
      <c r="E70" s="45" t="n">
        <v>14</v>
      </c>
    </row>
    <row r="71">
      <c r="A71" s="51" t="inlineStr">
        <is>
          <t>INSMAEEREF</t>
        </is>
      </c>
      <c r="B71" s="53" t="inlineStr">
        <is>
          <t>044</t>
        </is>
      </c>
      <c r="C71" s="53" t="inlineStr">
        <is>
          <t>Moins de 20 ans</t>
        </is>
      </c>
      <c r="D71" s="45" t="n">
        <v>5</v>
      </c>
      <c r="E71" s="45" t="n">
        <v>5</v>
      </c>
    </row>
    <row r="72">
      <c r="A72" s="51" t="inlineStr">
        <is>
          <t>INSMAEEREF</t>
        </is>
      </c>
      <c r="B72" s="53" t="inlineStr">
        <is>
          <t>044</t>
        </is>
      </c>
      <c r="C72" s="53" t="inlineStr">
        <is>
          <t>21 ans 40 ans</t>
        </is>
      </c>
      <c r="D72" s="45" t="n">
        <v>4</v>
      </c>
      <c r="E72" s="45" t="n">
        <v>4</v>
      </c>
    </row>
    <row r="73">
      <c r="A73" s="51" t="inlineStr">
        <is>
          <t>INSMAEEREF</t>
        </is>
      </c>
      <c r="B73" s="53" t="inlineStr">
        <is>
          <t>044</t>
        </is>
      </c>
      <c r="C73" s="53" t="inlineStr">
        <is>
          <t>41 ans 60 ans</t>
        </is>
      </c>
      <c r="D73" s="45" t="n">
        <v>8</v>
      </c>
      <c r="E73" s="45" t="n">
        <v>8</v>
      </c>
    </row>
    <row r="74">
      <c r="A74" s="51" t="inlineStr">
        <is>
          <t>INSMAEEREF</t>
        </is>
      </c>
      <c r="B74" s="53" t="inlineStr">
        <is>
          <t>044</t>
        </is>
      </c>
      <c r="C74" s="53" t="inlineStr">
        <is>
          <t>61 ans 80 ans</t>
        </is>
      </c>
      <c r="D74" s="45" t="n">
        <v>405</v>
      </c>
      <c r="E74" s="45" t="n">
        <v>405</v>
      </c>
    </row>
    <row r="75">
      <c r="A75" s="51" t="inlineStr">
        <is>
          <t>INSMAEEREF</t>
        </is>
      </c>
      <c r="B75" s="53" t="inlineStr">
        <is>
          <t>044</t>
        </is>
      </c>
      <c r="C75" s="53" t="inlineStr">
        <is>
          <t>Plus de 80 ans</t>
        </is>
      </c>
      <c r="D75" s="45" t="n">
        <v>219</v>
      </c>
      <c r="E75" s="45" t="n">
        <v>219</v>
      </c>
    </row>
    <row r="76">
      <c r="A76" s="51" t="inlineStr">
        <is>
          <t>INSMAEERET</t>
        </is>
      </c>
      <c r="B76" s="53" t="inlineStr">
        <is>
          <t>044</t>
        </is>
      </c>
      <c r="C76" s="53" t="inlineStr">
        <is>
          <t>Moins de 20 ans</t>
        </is>
      </c>
      <c r="D76" s="45" t="n">
        <v>142</v>
      </c>
      <c r="E76" s="45" t="n">
        <v>142</v>
      </c>
    </row>
    <row r="77">
      <c r="A77" s="51" t="inlineStr">
        <is>
          <t>INSMAEERET</t>
        </is>
      </c>
      <c r="B77" s="53" t="inlineStr">
        <is>
          <t>044</t>
        </is>
      </c>
      <c r="C77" s="53" t="inlineStr">
        <is>
          <t>21 ans 40 ans</t>
        </is>
      </c>
      <c r="D77" s="45" t="n">
        <v>110</v>
      </c>
      <c r="E77" s="45" t="n">
        <v>110</v>
      </c>
    </row>
    <row r="78">
      <c r="A78" s="51" t="inlineStr">
        <is>
          <t>INSMAEERET</t>
        </is>
      </c>
      <c r="B78" s="53" t="inlineStr">
        <is>
          <t>044</t>
        </is>
      </c>
      <c r="C78" s="53" t="inlineStr">
        <is>
          <t>41 ans 60 ans</t>
        </is>
      </c>
      <c r="D78" s="45" t="n">
        <v>254</v>
      </c>
      <c r="E78" s="45" t="n">
        <v>254</v>
      </c>
    </row>
    <row r="79">
      <c r="A79" s="51" t="inlineStr">
        <is>
          <t>INSMAEERET</t>
        </is>
      </c>
      <c r="B79" s="53" t="inlineStr">
        <is>
          <t>044</t>
        </is>
      </c>
      <c r="C79" s="53" t="inlineStr">
        <is>
          <t>61 ans 80 ans</t>
        </is>
      </c>
      <c r="D79" s="45" t="n">
        <v>3786</v>
      </c>
      <c r="E79" s="45" t="n">
        <v>3785</v>
      </c>
    </row>
    <row r="80">
      <c r="A80" s="51" t="inlineStr">
        <is>
          <t>INSMAEERET</t>
        </is>
      </c>
      <c r="B80" s="53" t="inlineStr">
        <is>
          <t>044</t>
        </is>
      </c>
      <c r="C80" s="53" t="inlineStr">
        <is>
          <t>Plus de 80 ans</t>
        </is>
      </c>
      <c r="D80" s="45" t="n">
        <v>1341</v>
      </c>
      <c r="E80" s="45" t="n">
        <v>1341</v>
      </c>
    </row>
    <row r="81">
      <c r="A81" s="51" t="inlineStr">
        <is>
          <t>INSMALT001</t>
        </is>
      </c>
      <c r="B81" s="53" t="inlineStr">
        <is>
          <t>010</t>
        </is>
      </c>
      <c r="C81" s="53" t="inlineStr">
        <is>
          <t>Moins de 20 ans</t>
        </is>
      </c>
      <c r="D81" s="45" t="n">
        <v>235</v>
      </c>
      <c r="E81" s="45" t="n">
        <v>235</v>
      </c>
    </row>
    <row r="82">
      <c r="A82" s="51" t="inlineStr">
        <is>
          <t>INSMALT001</t>
        </is>
      </c>
      <c r="B82" s="53" t="inlineStr">
        <is>
          <t>010</t>
        </is>
      </c>
      <c r="C82" s="53" t="inlineStr">
        <is>
          <t>21 ans 40 ans</t>
        </is>
      </c>
      <c r="D82" s="45" t="n">
        <v>343</v>
      </c>
      <c r="E82" s="45" t="n">
        <v>343</v>
      </c>
    </row>
    <row r="83">
      <c r="A83" s="51" t="inlineStr">
        <is>
          <t>INSMALT001</t>
        </is>
      </c>
      <c r="B83" s="53" t="inlineStr">
        <is>
          <t>010</t>
        </is>
      </c>
      <c r="C83" s="53" t="inlineStr">
        <is>
          <t>41 ans 60 ans</t>
        </is>
      </c>
      <c r="D83" s="45" t="n">
        <v>523</v>
      </c>
      <c r="E83" s="45" t="n">
        <v>523</v>
      </c>
    </row>
    <row r="84">
      <c r="A84" s="51" t="inlineStr">
        <is>
          <t>INSMALT001</t>
        </is>
      </c>
      <c r="B84" s="53" t="inlineStr">
        <is>
          <t>010</t>
        </is>
      </c>
      <c r="C84" s="53" t="inlineStr">
        <is>
          <t>61 ans 80 ans</t>
        </is>
      </c>
      <c r="D84" s="45" t="n">
        <v>23209</v>
      </c>
      <c r="E84" s="45" t="n">
        <v>23209</v>
      </c>
    </row>
    <row r="85">
      <c r="A85" s="51" t="inlineStr">
        <is>
          <t>INSMALT001</t>
        </is>
      </c>
      <c r="B85" s="53" t="inlineStr">
        <is>
          <t>010</t>
        </is>
      </c>
      <c r="C85" s="53" t="inlineStr">
        <is>
          <t>Plus de 80 ans</t>
        </is>
      </c>
      <c r="D85" s="45" t="n">
        <v>2503</v>
      </c>
      <c r="E85" s="45" t="n">
        <v>2503</v>
      </c>
    </row>
    <row r="86">
      <c r="A86" s="51" t="inlineStr">
        <is>
          <t>INSMAS001</t>
        </is>
      </c>
      <c r="B86" s="53" t="inlineStr">
        <is>
          <t>010</t>
        </is>
      </c>
      <c r="C86" s="53" t="inlineStr">
        <is>
          <t>Moins de 20 ans</t>
        </is>
      </c>
      <c r="D86" s="45" t="n">
        <v>3</v>
      </c>
      <c r="E86" s="45" t="n">
        <v>3</v>
      </c>
    </row>
    <row r="87">
      <c r="A87" s="51" t="inlineStr">
        <is>
          <t>INSMAS001</t>
        </is>
      </c>
      <c r="B87" s="53" t="inlineStr">
        <is>
          <t>010</t>
        </is>
      </c>
      <c r="C87" s="53" t="inlineStr">
        <is>
          <t>21 ans 40 ans</t>
        </is>
      </c>
      <c r="D87" s="45" t="n">
        <v>6</v>
      </c>
      <c r="E87" s="45" t="n">
        <v>6</v>
      </c>
    </row>
    <row r="88">
      <c r="A88" s="51" t="inlineStr">
        <is>
          <t>INSMAS001</t>
        </is>
      </c>
      <c r="B88" s="53" t="inlineStr">
        <is>
          <t>010</t>
        </is>
      </c>
      <c r="C88" s="53" t="inlineStr">
        <is>
          <t>41 ans 60 ans</t>
        </is>
      </c>
      <c r="D88" s="45" t="n">
        <v>8</v>
      </c>
      <c r="E88" s="45" t="n">
        <v>8</v>
      </c>
    </row>
    <row r="89">
      <c r="A89" s="51" t="inlineStr">
        <is>
          <t>INSMAS001</t>
        </is>
      </c>
      <c r="B89" s="53" t="inlineStr">
        <is>
          <t>010</t>
        </is>
      </c>
      <c r="C89" s="53" t="inlineStr">
        <is>
          <t>61 ans 80 ans</t>
        </is>
      </c>
      <c r="D89" s="45" t="n">
        <v>5</v>
      </c>
      <c r="E89" s="45" t="n">
        <v>5</v>
      </c>
    </row>
    <row r="90">
      <c r="A90" s="51" t="inlineStr">
        <is>
          <t>INSMIOM001</t>
        </is>
      </c>
      <c r="B90" s="53" t="inlineStr">
        <is>
          <t>010</t>
        </is>
      </c>
      <c r="C90" s="53" t="inlineStr">
        <is>
          <t>Moins de 20 ans</t>
        </is>
      </c>
      <c r="D90" s="45" t="n">
        <v>119</v>
      </c>
      <c r="E90" s="45" t="n">
        <v>121</v>
      </c>
    </row>
    <row r="91">
      <c r="A91" s="51" t="inlineStr">
        <is>
          <t>INSMIOM001</t>
        </is>
      </c>
      <c r="B91" s="53" t="inlineStr">
        <is>
          <t>010</t>
        </is>
      </c>
      <c r="C91" s="53" t="inlineStr">
        <is>
          <t>21 ans 40 ans</t>
        </is>
      </c>
      <c r="D91" s="45" t="n">
        <v>54</v>
      </c>
      <c r="E91" s="45" t="n">
        <v>56</v>
      </c>
    </row>
    <row r="92">
      <c r="A92" s="51" t="inlineStr">
        <is>
          <t>INSMIOM001</t>
        </is>
      </c>
      <c r="B92" s="53" t="inlineStr">
        <is>
          <t>010</t>
        </is>
      </c>
      <c r="C92" s="53" t="inlineStr">
        <is>
          <t>41 ans 60 ans</t>
        </is>
      </c>
      <c r="D92" s="45" t="n">
        <v>339</v>
      </c>
      <c r="E92" s="45" t="n">
        <v>345</v>
      </c>
    </row>
    <row r="93">
      <c r="A93" s="51" t="inlineStr">
        <is>
          <t>INSMIOM001</t>
        </is>
      </c>
      <c r="B93" s="53" t="inlineStr">
        <is>
          <t>010</t>
        </is>
      </c>
      <c r="C93" s="53" t="inlineStr">
        <is>
          <t>61 ans 80 ans</t>
        </is>
      </c>
      <c r="D93" s="45" t="n">
        <v>20</v>
      </c>
      <c r="E93" s="45" t="n">
        <v>20</v>
      </c>
    </row>
    <row r="94">
      <c r="A94" s="51" t="inlineStr">
        <is>
          <t>INSMTE0001</t>
        </is>
      </c>
      <c r="B94" s="53" t="inlineStr">
        <is>
          <t>010</t>
        </is>
      </c>
      <c r="C94" s="53" t="inlineStr">
        <is>
          <t>Moins de 20 ans</t>
        </is>
      </c>
      <c r="D94" s="45" t="n">
        <v>2159</v>
      </c>
      <c r="E94" s="45" t="n">
        <v>2159</v>
      </c>
    </row>
    <row r="95">
      <c r="A95" s="51" t="inlineStr">
        <is>
          <t>INSMTE0001</t>
        </is>
      </c>
      <c r="B95" s="53" t="inlineStr">
        <is>
          <t>010</t>
        </is>
      </c>
      <c r="C95" s="53" t="inlineStr">
        <is>
          <t>21 ans 40 ans</t>
        </is>
      </c>
      <c r="D95" s="45" t="n">
        <v>1281</v>
      </c>
      <c r="E95" s="45" t="n">
        <v>1281</v>
      </c>
    </row>
    <row r="96">
      <c r="A96" s="51" t="inlineStr">
        <is>
          <t>INSMTE0001</t>
        </is>
      </c>
      <c r="B96" s="53" t="inlineStr">
        <is>
          <t>010</t>
        </is>
      </c>
      <c r="C96" s="53" t="inlineStr">
        <is>
          <t>41 ans 60 ans</t>
        </is>
      </c>
      <c r="D96" s="45" t="n">
        <v>3374</v>
      </c>
      <c r="E96" s="45" t="n">
        <v>3374</v>
      </c>
    </row>
    <row r="97">
      <c r="A97" s="51" t="inlineStr">
        <is>
          <t>INSMTE0001</t>
        </is>
      </c>
      <c r="B97" s="53" t="inlineStr">
        <is>
          <t>010</t>
        </is>
      </c>
      <c r="C97" s="53" t="inlineStr">
        <is>
          <t>61 ans 80 ans</t>
        </is>
      </c>
      <c r="D97" s="45" t="n">
        <v>461</v>
      </c>
      <c r="E97" s="45" t="n">
        <v>461</v>
      </c>
    </row>
    <row r="98">
      <c r="A98" s="51" t="inlineStr">
        <is>
          <t>INSMTE1001</t>
        </is>
      </c>
      <c r="B98" s="53" t="inlineStr">
        <is>
          <t>010</t>
        </is>
      </c>
      <c r="C98" s="53" t="inlineStr">
        <is>
          <t>Moins de 20 ans</t>
        </is>
      </c>
      <c r="D98" s="45" t="n">
        <v>6</v>
      </c>
      <c r="E98" s="45" t="n">
        <v>6</v>
      </c>
    </row>
    <row r="99">
      <c r="A99" s="51" t="inlineStr">
        <is>
          <t>INSMTE1001</t>
        </is>
      </c>
      <c r="B99" s="53" t="inlineStr">
        <is>
          <t>010</t>
        </is>
      </c>
      <c r="C99" s="53" t="inlineStr">
        <is>
          <t>21 ans 40 ans</t>
        </is>
      </c>
      <c r="D99" s="45" t="n">
        <v>3</v>
      </c>
      <c r="E99" s="45" t="n">
        <v>3</v>
      </c>
    </row>
    <row r="100">
      <c r="A100" s="51" t="inlineStr">
        <is>
          <t>INSMTE1001</t>
        </is>
      </c>
      <c r="B100" s="53" t="inlineStr">
        <is>
          <t>010</t>
        </is>
      </c>
      <c r="C100" s="53" t="inlineStr">
        <is>
          <t>41 ans 60 ans</t>
        </is>
      </c>
      <c r="D100" s="45" t="n">
        <v>11</v>
      </c>
      <c r="E100" s="45" t="n">
        <v>11</v>
      </c>
    </row>
    <row r="101">
      <c r="A101" s="51" t="inlineStr">
        <is>
          <t>INSMTE1001</t>
        </is>
      </c>
      <c r="B101" s="53" t="inlineStr">
        <is>
          <t>010</t>
        </is>
      </c>
      <c r="C101" s="53" t="inlineStr">
        <is>
          <t>61 ans 80 ans</t>
        </is>
      </c>
      <c r="D101" s="45" t="n">
        <v>38</v>
      </c>
      <c r="E101" s="45" t="n">
        <v>38</v>
      </c>
    </row>
    <row r="102">
      <c r="A102" s="51" t="inlineStr">
        <is>
          <t>INSMTE1001</t>
        </is>
      </c>
      <c r="B102" s="53" t="inlineStr">
        <is>
          <t>010</t>
        </is>
      </c>
      <c r="C102" s="53" t="inlineStr">
        <is>
          <t>Plus de 80 ans</t>
        </is>
      </c>
      <c r="D102" s="45" t="n">
        <v>7</v>
      </c>
      <c r="E102" s="45" t="n">
        <v>7</v>
      </c>
    </row>
    <row r="103">
      <c r="A103" s="51" t="inlineStr">
        <is>
          <t>MEPCULT003</t>
        </is>
      </c>
      <c r="B103" s="53" t="inlineStr">
        <is>
          <t>010</t>
        </is>
      </c>
      <c r="C103" s="53" t="inlineStr">
        <is>
          <t>21 ans 40 ans</t>
        </is>
      </c>
      <c r="D103" s="45" t="n">
        <v>69</v>
      </c>
      <c r="E103" s="45" t="n">
        <v>70</v>
      </c>
    </row>
    <row r="104">
      <c r="A104" s="51" t="inlineStr">
        <is>
          <t>MEPCULT003</t>
        </is>
      </c>
      <c r="B104" s="53" t="inlineStr">
        <is>
          <t>010</t>
        </is>
      </c>
      <c r="C104" s="53" t="inlineStr">
        <is>
          <t>41 ans 60 ans</t>
        </is>
      </c>
      <c r="D104" s="45" t="n">
        <v>628</v>
      </c>
      <c r="E104" s="45" t="n">
        <v>637</v>
      </c>
    </row>
    <row r="105">
      <c r="A105" s="51" t="inlineStr">
        <is>
          <t>MEPCULT003</t>
        </is>
      </c>
      <c r="B105" s="53" t="inlineStr">
        <is>
          <t>010</t>
        </is>
      </c>
      <c r="C105" s="53" t="inlineStr">
        <is>
          <t>61 ans 80 ans</t>
        </is>
      </c>
      <c r="D105" s="45" t="n">
        <v>145</v>
      </c>
      <c r="E105" s="45" t="n">
        <v>147</v>
      </c>
    </row>
    <row r="106">
      <c r="A106" s="51" t="inlineStr">
        <is>
          <t>MEPMAS001</t>
        </is>
      </c>
      <c r="B106" s="53" t="inlineStr">
        <is>
          <t>073</t>
        </is>
      </c>
      <c r="C106" s="53" t="inlineStr">
        <is>
          <t>21 ans 40 ans</t>
        </is>
      </c>
      <c r="D106" s="45" t="n">
        <v>90</v>
      </c>
      <c r="E106" s="45" t="n">
        <v>92</v>
      </c>
    </row>
    <row r="107">
      <c r="A107" s="51" t="inlineStr">
        <is>
          <t>MEPMAS001</t>
        </is>
      </c>
      <c r="B107" s="53" t="inlineStr">
        <is>
          <t>073</t>
        </is>
      </c>
      <c r="C107" s="53" t="inlineStr">
        <is>
          <t>41 ans 60 ans</t>
        </is>
      </c>
      <c r="D107" s="45" t="n">
        <v>617</v>
      </c>
      <c r="E107" s="45" t="n">
        <v>627</v>
      </c>
    </row>
    <row r="108">
      <c r="A108" s="51" t="inlineStr">
        <is>
          <t>MEPMAS001</t>
        </is>
      </c>
      <c r="B108" s="53" t="inlineStr">
        <is>
          <t>073</t>
        </is>
      </c>
      <c r="C108" s="53" t="inlineStr">
        <is>
          <t>61 ans 80 ans</t>
        </is>
      </c>
      <c r="D108" s="45" t="n">
        <v>92</v>
      </c>
      <c r="E108" s="45" t="n">
        <v>93</v>
      </c>
    </row>
    <row r="109">
      <c r="A109" s="51" t="inlineStr">
        <is>
          <t>MEPMEAE001</t>
        </is>
      </c>
      <c r="B109" s="53" t="inlineStr">
        <is>
          <t>010</t>
        </is>
      </c>
      <c r="C109" s="53" t="inlineStr">
        <is>
          <t>21 ans 40 ans</t>
        </is>
      </c>
      <c r="D109" s="45" t="n">
        <v>43</v>
      </c>
      <c r="E109" s="45" t="n">
        <v>44</v>
      </c>
    </row>
    <row r="110">
      <c r="A110" s="51" t="inlineStr">
        <is>
          <t>MEPMEAE001</t>
        </is>
      </c>
      <c r="B110" s="53" t="inlineStr">
        <is>
          <t>010</t>
        </is>
      </c>
      <c r="C110" s="53" t="inlineStr">
        <is>
          <t>41 ans 60 ans</t>
        </is>
      </c>
      <c r="D110" s="45" t="n">
        <v>355</v>
      </c>
      <c r="E110" s="45" t="n">
        <v>359</v>
      </c>
    </row>
    <row r="111">
      <c r="A111" s="51" t="inlineStr">
        <is>
          <t>MEPMEAE001</t>
        </is>
      </c>
      <c r="B111" s="53" t="inlineStr">
        <is>
          <t>010</t>
        </is>
      </c>
      <c r="C111" s="53" t="inlineStr">
        <is>
          <t>61 ans 80 ans</t>
        </is>
      </c>
      <c r="D111" s="45" t="n">
        <v>56</v>
      </c>
      <c r="E111" s="45" t="n">
        <v>56</v>
      </c>
    </row>
    <row r="112">
      <c r="A112" s="51" t="inlineStr">
        <is>
          <t>MEPMEAT002</t>
        </is>
      </c>
      <c r="B112" s="53" t="inlineStr">
        <is>
          <t>010</t>
        </is>
      </c>
      <c r="C112" s="53" t="inlineStr">
        <is>
          <t>21 ans 40 ans</t>
        </is>
      </c>
      <c r="D112" s="45" t="n">
        <v>49</v>
      </c>
      <c r="E112" s="45" t="n">
        <v>51</v>
      </c>
    </row>
    <row r="113">
      <c r="A113" s="51" t="inlineStr">
        <is>
          <t>MEPMEAT002</t>
        </is>
      </c>
      <c r="B113" s="53" t="inlineStr">
        <is>
          <t>010</t>
        </is>
      </c>
      <c r="C113" s="53" t="inlineStr">
        <is>
          <t>41 ans 60 ans</t>
        </is>
      </c>
      <c r="D113" s="45" t="n">
        <v>704</v>
      </c>
      <c r="E113" s="45" t="n">
        <v>719</v>
      </c>
    </row>
    <row r="114">
      <c r="A114" s="51" t="inlineStr">
        <is>
          <t>MEPMEAT002</t>
        </is>
      </c>
      <c r="B114" s="53" t="inlineStr">
        <is>
          <t>010</t>
        </is>
      </c>
      <c r="C114" s="53" t="inlineStr">
        <is>
          <t>61 ans 80 ans</t>
        </is>
      </c>
      <c r="D114" s="45" t="n">
        <v>82</v>
      </c>
      <c r="E114" s="45" t="n">
        <v>83</v>
      </c>
    </row>
    <row r="115">
      <c r="A115" s="51" t="inlineStr">
        <is>
          <t>MEPMENP002</t>
        </is>
      </c>
      <c r="B115" s="53" t="inlineStr">
        <is>
          <t>010</t>
        </is>
      </c>
      <c r="C115" s="53" t="inlineStr">
        <is>
          <t>Moins de 20 ans</t>
        </is>
      </c>
      <c r="D115" s="45" t="n">
        <v>3</v>
      </c>
      <c r="E115" s="45" t="n">
        <v>4</v>
      </c>
    </row>
    <row r="116">
      <c r="A116" s="51" t="inlineStr">
        <is>
          <t>MEPMENP002</t>
        </is>
      </c>
      <c r="B116" s="53" t="inlineStr">
        <is>
          <t>010</t>
        </is>
      </c>
      <c r="C116" s="53" t="inlineStr">
        <is>
          <t>21 ans 40 ans</t>
        </is>
      </c>
      <c r="D116" s="45" t="n">
        <v>4200</v>
      </c>
      <c r="E116" s="45" t="n">
        <v>4424</v>
      </c>
    </row>
    <row r="117">
      <c r="A117" s="51" t="inlineStr">
        <is>
          <t>MEPMENP002</t>
        </is>
      </c>
      <c r="B117" s="53" t="inlineStr">
        <is>
          <t>010</t>
        </is>
      </c>
      <c r="C117" s="53" t="inlineStr">
        <is>
          <t>41 ans 60 ans</t>
        </is>
      </c>
      <c r="D117" s="45" t="n">
        <v>75040</v>
      </c>
      <c r="E117" s="45" t="n">
        <v>78838</v>
      </c>
    </row>
    <row r="118">
      <c r="A118" s="51" t="inlineStr">
        <is>
          <t>MEPMENP002</t>
        </is>
      </c>
      <c r="B118" s="53" t="inlineStr">
        <is>
          <t>010</t>
        </is>
      </c>
      <c r="C118" s="53" t="inlineStr">
        <is>
          <t>61 ans 80 ans</t>
        </is>
      </c>
      <c r="D118" s="45" t="n">
        <v>12073</v>
      </c>
      <c r="E118" s="45" t="n">
        <v>12786</v>
      </c>
    </row>
    <row r="119">
      <c r="A119" s="51" t="inlineStr">
        <is>
          <t>MEPMENP201</t>
        </is>
      </c>
      <c r="B119" s="53" t="inlineStr">
        <is>
          <t>010</t>
        </is>
      </c>
      <c r="C119" s="53" t="inlineStr">
        <is>
          <t>21 ans 40 ans</t>
        </is>
      </c>
      <c r="D119" s="45" t="n">
        <v>21</v>
      </c>
      <c r="E119" s="45" t="n">
        <v>21</v>
      </c>
    </row>
    <row r="120">
      <c r="A120" s="51" t="inlineStr">
        <is>
          <t>MEPMENP201</t>
        </is>
      </c>
      <c r="B120" s="53" t="inlineStr">
        <is>
          <t>010</t>
        </is>
      </c>
      <c r="C120" s="53" t="inlineStr">
        <is>
          <t>41 ans 60 ans</t>
        </is>
      </c>
      <c r="D120" s="45" t="n">
        <v>208</v>
      </c>
      <c r="E120" s="45" t="n">
        <v>219</v>
      </c>
    </row>
    <row r="121">
      <c r="A121" s="51" t="inlineStr">
        <is>
          <t>MEPMENP201</t>
        </is>
      </c>
      <c r="B121" s="53" t="inlineStr">
        <is>
          <t>010</t>
        </is>
      </c>
      <c r="C121" s="53" t="inlineStr">
        <is>
          <t>61 ans 80 ans</t>
        </is>
      </c>
      <c r="D121" s="45" t="n">
        <v>34</v>
      </c>
      <c r="E121" s="45" t="n">
        <v>34</v>
      </c>
    </row>
    <row r="122">
      <c r="A122" s="51" t="inlineStr">
        <is>
          <t>MESAPEI002</t>
        </is>
      </c>
      <c r="B122" s="53" t="inlineStr">
        <is>
          <t>052</t>
        </is>
      </c>
      <c r="C122" s="53" t="inlineStr">
        <is>
          <t>Moins de 20 ans</t>
        </is>
      </c>
      <c r="D122" s="45" t="n">
        <v>181</v>
      </c>
      <c r="E122" s="45" t="n">
        <v>182</v>
      </c>
    </row>
    <row r="123">
      <c r="A123" s="51" t="inlineStr">
        <is>
          <t>MESAPEI002</t>
        </is>
      </c>
      <c r="B123" s="53" t="inlineStr">
        <is>
          <t>052</t>
        </is>
      </c>
      <c r="C123" s="53" t="inlineStr">
        <is>
          <t>21 ans 40 ans</t>
        </is>
      </c>
      <c r="D123" s="45" t="n">
        <v>199</v>
      </c>
      <c r="E123" s="45" t="n">
        <v>199</v>
      </c>
    </row>
    <row r="124">
      <c r="A124" s="51" t="inlineStr">
        <is>
          <t>MESAPEI002</t>
        </is>
      </c>
      <c r="B124" s="53" t="inlineStr">
        <is>
          <t>052</t>
        </is>
      </c>
      <c r="C124" s="53" t="inlineStr">
        <is>
          <t>41 ans 60 ans</t>
        </is>
      </c>
      <c r="D124" s="45" t="n">
        <v>276</v>
      </c>
      <c r="E124" s="45" t="n">
        <v>276</v>
      </c>
    </row>
    <row r="125">
      <c r="A125" s="51" t="inlineStr">
        <is>
          <t>MESAPEI002</t>
        </is>
      </c>
      <c r="B125" s="53" t="inlineStr">
        <is>
          <t>052</t>
        </is>
      </c>
      <c r="C125" s="53" t="inlineStr">
        <is>
          <t>61 ans 80 ans</t>
        </is>
      </c>
      <c r="D125" s="45" t="n">
        <v>65</v>
      </c>
      <c r="E125" s="45" t="n">
        <v>65</v>
      </c>
    </row>
    <row r="126">
      <c r="A126" s="51" t="inlineStr">
        <is>
          <t>MESBGTL004</t>
        </is>
      </c>
      <c r="B126" s="53" t="inlineStr">
        <is>
          <t>052</t>
        </is>
      </c>
      <c r="C126" s="53" t="inlineStr">
        <is>
          <t>Moins de 20 ans</t>
        </is>
      </c>
      <c r="D126" s="45" t="n">
        <v>596</v>
      </c>
      <c r="E126" s="45" t="n">
        <v>595</v>
      </c>
    </row>
    <row r="127">
      <c r="A127" s="51" t="inlineStr">
        <is>
          <t>MESBGTL004</t>
        </is>
      </c>
      <c r="B127" s="53" t="inlineStr">
        <is>
          <t>052</t>
        </is>
      </c>
      <c r="C127" s="53" t="inlineStr">
        <is>
          <t>21 ans 40 ans</t>
        </is>
      </c>
      <c r="D127" s="45" t="n">
        <v>815</v>
      </c>
      <c r="E127" s="45" t="n">
        <v>815</v>
      </c>
    </row>
    <row r="128">
      <c r="A128" s="51" t="inlineStr">
        <is>
          <t>MESBGTL004</t>
        </is>
      </c>
      <c r="B128" s="53" t="inlineStr">
        <is>
          <t>052</t>
        </is>
      </c>
      <c r="C128" s="53" t="inlineStr">
        <is>
          <t>41 ans 60 ans</t>
        </is>
      </c>
      <c r="D128" s="45" t="n">
        <v>753</v>
      </c>
      <c r="E128" s="45" t="n">
        <v>753</v>
      </c>
    </row>
    <row r="129">
      <c r="A129" s="51" t="inlineStr">
        <is>
          <t>MESBGTL004</t>
        </is>
      </c>
      <c r="B129" s="53" t="inlineStr">
        <is>
          <t>052</t>
        </is>
      </c>
      <c r="C129" s="53" t="inlineStr">
        <is>
          <t>61 ans 80 ans</t>
        </is>
      </c>
      <c r="D129" s="45" t="n">
        <v>170</v>
      </c>
      <c r="E129" s="45" t="n">
        <v>170</v>
      </c>
    </row>
    <row r="130">
      <c r="A130" s="51" t="inlineStr">
        <is>
          <t>MESBGTL004</t>
        </is>
      </c>
      <c r="B130" s="53" t="inlineStr">
        <is>
          <t>052</t>
        </is>
      </c>
      <c r="C130" s="53" t="inlineStr">
        <is>
          <t>Plus de 80 ans</t>
        </is>
      </c>
      <c r="D130" s="45" t="n">
        <v>1</v>
      </c>
      <c r="E130" s="45" t="n">
        <v>1</v>
      </c>
    </row>
    <row r="131">
      <c r="A131" s="51" t="inlineStr">
        <is>
          <t>MESBGTL004</t>
        </is>
      </c>
      <c r="B131" s="53" t="inlineStr">
        <is>
          <t>052</t>
        </is>
      </c>
      <c r="C131" s="53" t="n">
        <v/>
      </c>
      <c r="D131" s="45" t="n">
        <v/>
      </c>
      <c r="E131" s="45" t="n">
        <v>2</v>
      </c>
    </row>
    <row r="132">
      <c r="A132" s="51" t="inlineStr">
        <is>
          <t>MESBSRT002</t>
        </is>
      </c>
      <c r="B132" s="53" t="inlineStr">
        <is>
          <t>052</t>
        </is>
      </c>
      <c r="C132" s="53" t="inlineStr">
        <is>
          <t>41 ans 60 ans</t>
        </is>
      </c>
      <c r="D132" s="45" t="n">
        <v>4</v>
      </c>
      <c r="E132" s="45" t="n">
        <v>4</v>
      </c>
    </row>
    <row r="133">
      <c r="A133" s="51" t="inlineStr">
        <is>
          <t>MESBSRT002</t>
        </is>
      </c>
      <c r="B133" s="53" t="inlineStr">
        <is>
          <t>052</t>
        </is>
      </c>
      <c r="C133" s="53" t="inlineStr">
        <is>
          <t>61 ans 80 ans</t>
        </is>
      </c>
      <c r="D133" s="45" t="n">
        <v>93</v>
      </c>
      <c r="E133" s="45" t="n">
        <v>93</v>
      </c>
    </row>
    <row r="134">
      <c r="A134" s="51" t="inlineStr">
        <is>
          <t>MESBSRT002</t>
        </is>
      </c>
      <c r="B134" s="53" t="inlineStr">
        <is>
          <t>052</t>
        </is>
      </c>
      <c r="C134" s="53" t="inlineStr">
        <is>
          <t>Plus de 80 ans</t>
        </is>
      </c>
      <c r="D134" s="45" t="n">
        <v>46</v>
      </c>
      <c r="E134" s="45" t="n">
        <v>46</v>
      </c>
    </row>
    <row r="135">
      <c r="A135" s="51" t="inlineStr">
        <is>
          <t>MESCULT002</t>
        </is>
      </c>
      <c r="B135" s="53" t="inlineStr">
        <is>
          <t>010</t>
        </is>
      </c>
      <c r="C135" s="53" t="inlineStr">
        <is>
          <t>Moins de 20 ans</t>
        </is>
      </c>
      <c r="D135" s="45" t="n">
        <v>5495</v>
      </c>
      <c r="E135" s="45" t="n">
        <v>5515</v>
      </c>
    </row>
    <row r="136">
      <c r="A136" s="51" t="inlineStr">
        <is>
          <t>MESCULT002</t>
        </is>
      </c>
      <c r="B136" s="53" t="inlineStr">
        <is>
          <t>010</t>
        </is>
      </c>
      <c r="C136" s="53" t="inlineStr">
        <is>
          <t>21 ans 40 ans</t>
        </is>
      </c>
      <c r="D136" s="45" t="n">
        <v>7114</v>
      </c>
      <c r="E136" s="45" t="n">
        <v>7131</v>
      </c>
    </row>
    <row r="137">
      <c r="A137" s="51" t="inlineStr">
        <is>
          <t>MESCULT002</t>
        </is>
      </c>
      <c r="B137" s="53" t="inlineStr">
        <is>
          <t>010</t>
        </is>
      </c>
      <c r="C137" s="53" t="inlineStr">
        <is>
          <t>41 ans 60 ans</t>
        </is>
      </c>
      <c r="D137" s="45" t="n">
        <v>11971</v>
      </c>
      <c r="E137" s="45" t="n">
        <v>11977</v>
      </c>
    </row>
    <row r="138">
      <c r="A138" s="51" t="inlineStr">
        <is>
          <t>MESCULT002</t>
        </is>
      </c>
      <c r="B138" s="53" t="inlineStr">
        <is>
          <t>010</t>
        </is>
      </c>
      <c r="C138" s="53" t="inlineStr">
        <is>
          <t>61 ans 80 ans</t>
        </is>
      </c>
      <c r="D138" s="45" t="n">
        <v>3707</v>
      </c>
      <c r="E138" s="45" t="n">
        <v>3710</v>
      </c>
    </row>
    <row r="139">
      <c r="A139" s="51" t="inlineStr">
        <is>
          <t>MESCULT002</t>
        </is>
      </c>
      <c r="B139" s="53" t="inlineStr">
        <is>
          <t>010</t>
        </is>
      </c>
      <c r="C139" s="53" t="inlineStr">
        <is>
          <t>Plus de 80 ans</t>
        </is>
      </c>
      <c r="D139" s="45" t="n">
        <v>9</v>
      </c>
      <c r="E139" s="45" t="n">
        <v>9</v>
      </c>
    </row>
    <row r="140">
      <c r="A140" s="51" t="inlineStr">
        <is>
          <t>MESCULT101</t>
        </is>
      </c>
      <c r="B140" s="53" t="inlineStr">
        <is>
          <t>010</t>
        </is>
      </c>
      <c r="C140" s="53" t="inlineStr">
        <is>
          <t>Moins de 20 ans</t>
        </is>
      </c>
      <c r="D140" s="45" t="n">
        <v>4</v>
      </c>
      <c r="E140" s="45" t="n">
        <v>4</v>
      </c>
    </row>
    <row r="141">
      <c r="A141" s="51" t="inlineStr">
        <is>
          <t>MESCULT101</t>
        </is>
      </c>
      <c r="B141" s="53" t="inlineStr">
        <is>
          <t>010</t>
        </is>
      </c>
      <c r="C141" s="53" t="inlineStr">
        <is>
          <t>21 ans 40 ans</t>
        </is>
      </c>
      <c r="D141" s="45" t="n">
        <v>4</v>
      </c>
      <c r="E141" s="45" t="n">
        <v>4</v>
      </c>
    </row>
    <row r="142">
      <c r="A142" s="51" t="inlineStr">
        <is>
          <t>MESCULT101</t>
        </is>
      </c>
      <c r="B142" s="53" t="inlineStr">
        <is>
          <t>010</t>
        </is>
      </c>
      <c r="C142" s="53" t="inlineStr">
        <is>
          <t>41 ans 60 ans</t>
        </is>
      </c>
      <c r="D142" s="45" t="n">
        <v>3</v>
      </c>
      <c r="E142" s="45" t="n">
        <v>3</v>
      </c>
    </row>
    <row r="143">
      <c r="A143" s="51" t="inlineStr">
        <is>
          <t>MESERASMUS</t>
        </is>
      </c>
      <c r="B143" s="53" t="inlineStr">
        <is>
          <t>052</t>
        </is>
      </c>
      <c r="C143" s="53" t="inlineStr">
        <is>
          <t>Moins de 20 ans</t>
        </is>
      </c>
      <c r="D143" s="45" t="n">
        <v>98</v>
      </c>
      <c r="E143" s="45" t="n">
        <v>98</v>
      </c>
    </row>
    <row r="144">
      <c r="A144" s="51" t="inlineStr">
        <is>
          <t>MESERASMUS</t>
        </is>
      </c>
      <c r="B144" s="53" t="inlineStr">
        <is>
          <t>052</t>
        </is>
      </c>
      <c r="C144" s="53" t="inlineStr">
        <is>
          <t>21 ans 40 ans</t>
        </is>
      </c>
      <c r="D144" s="45" t="n">
        <v>180</v>
      </c>
      <c r="E144" s="45" t="n">
        <v>181</v>
      </c>
    </row>
    <row r="145">
      <c r="A145" s="51" t="inlineStr">
        <is>
          <t>MESERASMUS</t>
        </is>
      </c>
      <c r="B145" s="53" t="inlineStr">
        <is>
          <t>052</t>
        </is>
      </c>
      <c r="C145" s="53" t="inlineStr">
        <is>
          <t>41 ans 60 ans</t>
        </is>
      </c>
      <c r="D145" s="45" t="n">
        <v>154</v>
      </c>
      <c r="E145" s="45" t="n">
        <v>154</v>
      </c>
    </row>
    <row r="146">
      <c r="A146" s="51" t="inlineStr">
        <is>
          <t>MESERASMUS</t>
        </is>
      </c>
      <c r="B146" s="53" t="inlineStr">
        <is>
          <t>052</t>
        </is>
      </c>
      <c r="C146" s="53" t="inlineStr">
        <is>
          <t>61 ans 80 ans</t>
        </is>
      </c>
      <c r="D146" s="45" t="n">
        <v>24</v>
      </c>
      <c r="E146" s="45" t="n">
        <v>24</v>
      </c>
    </row>
    <row r="147">
      <c r="A147" s="51" t="inlineStr">
        <is>
          <t>MESERASMUS</t>
        </is>
      </c>
      <c r="B147" s="53" t="inlineStr">
        <is>
          <t>052</t>
        </is>
      </c>
      <c r="C147" s="53" t="inlineStr">
        <is>
          <t>Plus de 80 ans</t>
        </is>
      </c>
      <c r="D147" s="45" t="n">
        <v>1</v>
      </c>
      <c r="E147" s="45" t="n">
        <v>1</v>
      </c>
    </row>
    <row r="148">
      <c r="A148" s="51" t="inlineStr">
        <is>
          <t>MESESEA001</t>
        </is>
      </c>
      <c r="B148" s="53" t="inlineStr">
        <is>
          <t>052</t>
        </is>
      </c>
      <c r="C148" s="53" t="inlineStr">
        <is>
          <t>Moins de 20 ans</t>
        </is>
      </c>
      <c r="D148" s="45" t="n">
        <v>35</v>
      </c>
      <c r="E148" s="45" t="n">
        <v>35</v>
      </c>
    </row>
    <row r="149">
      <c r="A149" s="51" t="inlineStr">
        <is>
          <t>MESESEA001</t>
        </is>
      </c>
      <c r="B149" s="53" t="inlineStr">
        <is>
          <t>052</t>
        </is>
      </c>
      <c r="C149" s="53" t="inlineStr">
        <is>
          <t>21 ans 40 ans</t>
        </is>
      </c>
      <c r="D149" s="45" t="n">
        <v>68</v>
      </c>
      <c r="E149" s="45" t="n">
        <v>69</v>
      </c>
    </row>
    <row r="150">
      <c r="A150" s="51" t="inlineStr">
        <is>
          <t>MESESEA001</t>
        </is>
      </c>
      <c r="B150" s="53" t="inlineStr">
        <is>
          <t>052</t>
        </is>
      </c>
      <c r="C150" s="53" t="inlineStr">
        <is>
          <t>41 ans 60 ans</t>
        </is>
      </c>
      <c r="D150" s="45" t="n">
        <v>44</v>
      </c>
      <c r="E150" s="45" t="n">
        <v>44</v>
      </c>
    </row>
    <row r="151">
      <c r="A151" s="51" t="inlineStr">
        <is>
          <t>MESESEA001</t>
        </is>
      </c>
      <c r="B151" s="53" t="inlineStr">
        <is>
          <t>052</t>
        </is>
      </c>
      <c r="C151" s="53" t="inlineStr">
        <is>
          <t>61 ans 80 ans</t>
        </is>
      </c>
      <c r="D151" s="45" t="n">
        <v>3</v>
      </c>
      <c r="E151" s="45" t="n">
        <v>3</v>
      </c>
    </row>
    <row r="152">
      <c r="A152" s="51" t="inlineStr">
        <is>
          <t>MESFRVL001</t>
        </is>
      </c>
      <c r="B152" s="53" t="inlineStr">
        <is>
          <t>052</t>
        </is>
      </c>
      <c r="C152" s="53" t="inlineStr">
        <is>
          <t>Moins de 20 ans</t>
        </is>
      </c>
      <c r="D152" s="45" t="n">
        <v>34</v>
      </c>
      <c r="E152" s="45" t="n">
        <v>34</v>
      </c>
    </row>
    <row r="153">
      <c r="A153" s="51" t="inlineStr">
        <is>
          <t>MESFRVL001</t>
        </is>
      </c>
      <c r="B153" s="53" t="inlineStr">
        <is>
          <t>052</t>
        </is>
      </c>
      <c r="C153" s="53" t="inlineStr">
        <is>
          <t>21 ans 40 ans</t>
        </is>
      </c>
      <c r="D153" s="45" t="n">
        <v>23</v>
      </c>
      <c r="E153" s="45" t="n">
        <v>23</v>
      </c>
    </row>
    <row r="154">
      <c r="A154" s="51" t="inlineStr">
        <is>
          <t>MESFRVL001</t>
        </is>
      </c>
      <c r="B154" s="53" t="inlineStr">
        <is>
          <t>052</t>
        </is>
      </c>
      <c r="C154" s="53" t="inlineStr">
        <is>
          <t>41 ans 60 ans</t>
        </is>
      </c>
      <c r="D154" s="45" t="n">
        <v>35</v>
      </c>
      <c r="E154" s="45" t="n">
        <v>35</v>
      </c>
    </row>
    <row r="155">
      <c r="A155" s="51" t="inlineStr">
        <is>
          <t>MESFRVL001</t>
        </is>
      </c>
      <c r="B155" s="53" t="inlineStr">
        <is>
          <t>052</t>
        </is>
      </c>
      <c r="C155" s="53" t="inlineStr">
        <is>
          <t>61 ans 80 ans</t>
        </is>
      </c>
      <c r="D155" s="45" t="n">
        <v>8</v>
      </c>
      <c r="E155" s="45" t="n">
        <v>8</v>
      </c>
    </row>
    <row r="156">
      <c r="A156" s="51" t="inlineStr">
        <is>
          <t>MESGMMS004</t>
        </is>
      </c>
      <c r="B156" s="53" t="inlineStr">
        <is>
          <t>052</t>
        </is>
      </c>
      <c r="C156" s="53" t="inlineStr">
        <is>
          <t>Moins de 20 ans</t>
        </is>
      </c>
      <c r="D156" s="45" t="n">
        <v>140</v>
      </c>
      <c r="E156" s="45" t="n">
        <v>141</v>
      </c>
    </row>
    <row r="157">
      <c r="A157" s="51" t="inlineStr">
        <is>
          <t>MESGMMS004</t>
        </is>
      </c>
      <c r="B157" s="53" t="inlineStr">
        <is>
          <t>052</t>
        </is>
      </c>
      <c r="C157" s="53" t="inlineStr">
        <is>
          <t>21 ans 40 ans</t>
        </is>
      </c>
      <c r="D157" s="45" t="n">
        <v>206</v>
      </c>
      <c r="E157" s="45" t="n">
        <v>209</v>
      </c>
    </row>
    <row r="158">
      <c r="A158" s="51" t="inlineStr">
        <is>
          <t>MESGMMS004</t>
        </is>
      </c>
      <c r="B158" s="53" t="inlineStr">
        <is>
          <t>052</t>
        </is>
      </c>
      <c r="C158" s="53" t="inlineStr">
        <is>
          <t>41 ans 60 ans</t>
        </is>
      </c>
      <c r="D158" s="45" t="n">
        <v>191</v>
      </c>
      <c r="E158" s="45" t="n">
        <v>191</v>
      </c>
    </row>
    <row r="159">
      <c r="A159" s="51" t="inlineStr">
        <is>
          <t>MESGMMS004</t>
        </is>
      </c>
      <c r="B159" s="53" t="inlineStr">
        <is>
          <t>052</t>
        </is>
      </c>
      <c r="C159" s="53" t="inlineStr">
        <is>
          <t>61 ans 80 ans</t>
        </is>
      </c>
      <c r="D159" s="45" t="n">
        <v>57</v>
      </c>
      <c r="E159" s="45" t="n">
        <v>57</v>
      </c>
    </row>
    <row r="160">
      <c r="A160" s="51" t="inlineStr">
        <is>
          <t>MESINOV003</t>
        </is>
      </c>
      <c r="B160" s="53" t="inlineStr">
        <is>
          <t>052</t>
        </is>
      </c>
      <c r="C160" s="53" t="inlineStr">
        <is>
          <t>Moins de 20 ans</t>
        </is>
      </c>
      <c r="D160" s="45" t="n">
        <v>86</v>
      </c>
      <c r="E160" s="45" t="n">
        <v>87</v>
      </c>
    </row>
    <row r="161">
      <c r="A161" s="51" t="inlineStr">
        <is>
          <t>MESINOV003</t>
        </is>
      </c>
      <c r="B161" s="53" t="inlineStr">
        <is>
          <t>052</t>
        </is>
      </c>
      <c r="C161" s="53" t="inlineStr">
        <is>
          <t>21 ans 40 ans</t>
        </is>
      </c>
      <c r="D161" s="45" t="n">
        <v>215</v>
      </c>
      <c r="E161" s="45" t="n">
        <v>216</v>
      </c>
    </row>
    <row r="162">
      <c r="A162" s="51" t="inlineStr">
        <is>
          <t>MESINOV003</t>
        </is>
      </c>
      <c r="B162" s="53" t="inlineStr">
        <is>
          <t>052</t>
        </is>
      </c>
      <c r="C162" s="53" t="inlineStr">
        <is>
          <t>41 ans 60 ans</t>
        </is>
      </c>
      <c r="D162" s="45" t="n">
        <v>73</v>
      </c>
      <c r="E162" s="45" t="n">
        <v>73</v>
      </c>
    </row>
    <row r="163">
      <c r="A163" s="51" t="inlineStr">
        <is>
          <t>MESINOV003</t>
        </is>
      </c>
      <c r="B163" s="53" t="inlineStr">
        <is>
          <t>052</t>
        </is>
      </c>
      <c r="C163" s="53" t="inlineStr">
        <is>
          <t>61 ans 80 ans</t>
        </is>
      </c>
      <c r="D163" s="45" t="n">
        <v>2</v>
      </c>
      <c r="E163" s="45" t="n">
        <v>1</v>
      </c>
    </row>
    <row r="164">
      <c r="A164" s="51" t="inlineStr">
        <is>
          <t>MESJUAD002</t>
        </is>
      </c>
      <c r="B164" s="53" t="inlineStr">
        <is>
          <t>010</t>
        </is>
      </c>
      <c r="C164" s="53" t="inlineStr">
        <is>
          <t>Moins de 20 ans</t>
        </is>
      </c>
      <c r="D164" s="45" t="n">
        <v>1116</v>
      </c>
      <c r="E164" s="45" t="n">
        <v>1122</v>
      </c>
    </row>
    <row r="165">
      <c r="A165" s="51" t="inlineStr">
        <is>
          <t>MESJUAD002</t>
        </is>
      </c>
      <c r="B165" s="53" t="inlineStr">
        <is>
          <t>010</t>
        </is>
      </c>
      <c r="C165" s="53" t="inlineStr">
        <is>
          <t>21 ans 40 ans</t>
        </is>
      </c>
      <c r="D165" s="45" t="n">
        <v>1495</v>
      </c>
      <c r="E165" s="45" t="n">
        <v>1502</v>
      </c>
    </row>
    <row r="166">
      <c r="A166" s="51" t="inlineStr">
        <is>
          <t>MESJUAD002</t>
        </is>
      </c>
      <c r="B166" s="53" t="inlineStr">
        <is>
          <t>010</t>
        </is>
      </c>
      <c r="C166" s="53" t="inlineStr">
        <is>
          <t>41 ans 60 ans</t>
        </is>
      </c>
      <c r="D166" s="45" t="n">
        <v>1585</v>
      </c>
      <c r="E166" s="45" t="n">
        <v>1595</v>
      </c>
    </row>
    <row r="167">
      <c r="A167" s="51" t="inlineStr">
        <is>
          <t>MESJUAD002</t>
        </is>
      </c>
      <c r="B167" s="53" t="inlineStr">
        <is>
          <t>010</t>
        </is>
      </c>
      <c r="C167" s="53" t="inlineStr">
        <is>
          <t>61 ans 80 ans</t>
        </is>
      </c>
      <c r="D167" s="45" t="n">
        <v>417</v>
      </c>
      <c r="E167" s="45" t="n">
        <v>417</v>
      </c>
    </row>
    <row r="168">
      <c r="A168" s="51" t="inlineStr">
        <is>
          <t>MESJUAD002</t>
        </is>
      </c>
      <c r="B168" s="53" t="inlineStr">
        <is>
          <t>010</t>
        </is>
      </c>
      <c r="C168" s="53" t="inlineStr">
        <is>
          <t>Plus de 80 ans</t>
        </is>
      </c>
      <c r="D168" s="45" t="n">
        <v>2</v>
      </c>
      <c r="E168" s="45" t="n">
        <v>2</v>
      </c>
    </row>
    <row r="169">
      <c r="A169" s="51" t="inlineStr">
        <is>
          <t>MESJUAM005</t>
        </is>
      </c>
      <c r="B169" s="53" t="inlineStr">
        <is>
          <t>010</t>
        </is>
      </c>
      <c r="C169" s="53" t="inlineStr">
        <is>
          <t>Moins de 20 ans</t>
        </is>
      </c>
      <c r="D169" s="45" t="n">
        <v>2</v>
      </c>
      <c r="E169" s="45" t="n">
        <v>2</v>
      </c>
    </row>
    <row r="170">
      <c r="A170" s="51" t="inlineStr">
        <is>
          <t>MESJUAM005</t>
        </is>
      </c>
      <c r="B170" s="53" t="inlineStr">
        <is>
          <t>010</t>
        </is>
      </c>
      <c r="C170" s="53" t="inlineStr">
        <is>
          <t>21 ans 40 ans</t>
        </is>
      </c>
      <c r="D170" s="45" t="n">
        <v>4</v>
      </c>
      <c r="E170" s="45" t="n">
        <v>4</v>
      </c>
    </row>
    <row r="171">
      <c r="A171" s="51" t="inlineStr">
        <is>
          <t>MESLAD46</t>
        </is>
      </c>
      <c r="B171" s="53" t="inlineStr">
        <is>
          <t>052</t>
        </is>
      </c>
      <c r="C171" s="53" t="inlineStr">
        <is>
          <t>Moins de 20 ans</t>
        </is>
      </c>
      <c r="D171" s="45" t="n">
        <v>171</v>
      </c>
      <c r="E171" s="45" t="n">
        <v>171</v>
      </c>
    </row>
    <row r="172">
      <c r="A172" s="51" t="inlineStr">
        <is>
          <t>MESLAD46</t>
        </is>
      </c>
      <c r="B172" s="53" t="inlineStr">
        <is>
          <t>052</t>
        </is>
      </c>
      <c r="C172" s="53" t="inlineStr">
        <is>
          <t>21 ans 40 ans</t>
        </is>
      </c>
      <c r="D172" s="45" t="n">
        <v>194</v>
      </c>
      <c r="E172" s="45" t="n">
        <v>194</v>
      </c>
    </row>
    <row r="173">
      <c r="A173" s="51" t="inlineStr">
        <is>
          <t>MESLAD46</t>
        </is>
      </c>
      <c r="B173" s="53" t="inlineStr">
        <is>
          <t>052</t>
        </is>
      </c>
      <c r="C173" s="53" t="inlineStr">
        <is>
          <t>41 ans 60 ans</t>
        </is>
      </c>
      <c r="D173" s="45" t="n">
        <v>372</v>
      </c>
      <c r="E173" s="45" t="n">
        <v>372</v>
      </c>
    </row>
    <row r="174">
      <c r="A174" s="51" t="inlineStr">
        <is>
          <t>MESLAD46</t>
        </is>
      </c>
      <c r="B174" s="53" t="inlineStr">
        <is>
          <t>052</t>
        </is>
      </c>
      <c r="C174" s="53" t="inlineStr">
        <is>
          <t>61 ans 80 ans</t>
        </is>
      </c>
      <c r="D174" s="45" t="n">
        <v>109</v>
      </c>
      <c r="E174" s="45" t="n">
        <v>109</v>
      </c>
    </row>
    <row r="175">
      <c r="A175" s="51" t="inlineStr">
        <is>
          <t>MESMEAE102</t>
        </is>
      </c>
      <c r="B175" s="53" t="inlineStr">
        <is>
          <t>044</t>
        </is>
      </c>
      <c r="C175" s="53" t="inlineStr">
        <is>
          <t>Moins de 20 ans</t>
        </is>
      </c>
      <c r="D175" s="45" t="n">
        <v>5005</v>
      </c>
      <c r="E175" s="45" t="n">
        <v>5355</v>
      </c>
    </row>
    <row r="176">
      <c r="A176" s="51" t="inlineStr">
        <is>
          <t>MESMEAE102</t>
        </is>
      </c>
      <c r="B176" s="53" t="inlineStr">
        <is>
          <t>044</t>
        </is>
      </c>
      <c r="C176" s="53" t="inlineStr">
        <is>
          <t>21 ans 40 ans</t>
        </is>
      </c>
      <c r="D176" s="45" t="n">
        <v>2497</v>
      </c>
      <c r="E176" s="45" t="n">
        <v>2821</v>
      </c>
    </row>
    <row r="177">
      <c r="A177" s="51" t="inlineStr">
        <is>
          <t>MESMEAE102</t>
        </is>
      </c>
      <c r="B177" s="53" t="inlineStr">
        <is>
          <t>044</t>
        </is>
      </c>
      <c r="C177" s="53" t="inlineStr">
        <is>
          <t>41 ans 60 ans</t>
        </is>
      </c>
      <c r="D177" s="45" t="n">
        <v>7599</v>
      </c>
      <c r="E177" s="45" t="n">
        <v>8136</v>
      </c>
    </row>
    <row r="178">
      <c r="A178" s="51" t="inlineStr">
        <is>
          <t>MESMEAE102</t>
        </is>
      </c>
      <c r="B178" s="53" t="inlineStr">
        <is>
          <t>044</t>
        </is>
      </c>
      <c r="C178" s="53" t="inlineStr">
        <is>
          <t>61 ans 80 ans</t>
        </is>
      </c>
      <c r="D178" s="45" t="n">
        <v>1254</v>
      </c>
      <c r="E178" s="45" t="n">
        <v>1283</v>
      </c>
    </row>
    <row r="179">
      <c r="A179" s="51" t="inlineStr">
        <is>
          <t>MESMEAE202</t>
        </is>
      </c>
      <c r="B179" s="53" t="inlineStr">
        <is>
          <t>044</t>
        </is>
      </c>
      <c r="C179" s="53" t="inlineStr">
        <is>
          <t>Moins de 20 ans</t>
        </is>
      </c>
      <c r="D179" s="45" t="n">
        <v>1453</v>
      </c>
      <c r="E179" s="45" t="n">
        <v>1511</v>
      </c>
    </row>
    <row r="180">
      <c r="A180" s="51" t="inlineStr">
        <is>
          <t>MESMEAE202</t>
        </is>
      </c>
      <c r="B180" s="53" t="inlineStr">
        <is>
          <t>044</t>
        </is>
      </c>
      <c r="C180" s="53" t="inlineStr">
        <is>
          <t>21 ans 40 ans</t>
        </is>
      </c>
      <c r="D180" s="45" t="n">
        <v>1906</v>
      </c>
      <c r="E180" s="45" t="n">
        <v>1968</v>
      </c>
    </row>
    <row r="181">
      <c r="A181" s="51" t="inlineStr">
        <is>
          <t>MESMEAE202</t>
        </is>
      </c>
      <c r="B181" s="53" t="inlineStr">
        <is>
          <t>044</t>
        </is>
      </c>
      <c r="C181" s="53" t="inlineStr">
        <is>
          <t>41 ans 60 ans</t>
        </is>
      </c>
      <c r="D181" s="45" t="n">
        <v>2342</v>
      </c>
      <c r="E181" s="45" t="n">
        <v>2484</v>
      </c>
    </row>
    <row r="182">
      <c r="A182" s="51" t="inlineStr">
        <is>
          <t>MESMEAE202</t>
        </is>
      </c>
      <c r="B182" s="53" t="inlineStr">
        <is>
          <t>044</t>
        </is>
      </c>
      <c r="C182" s="53" t="inlineStr">
        <is>
          <t>61 ans 80 ans</t>
        </is>
      </c>
      <c r="D182" s="45" t="n">
        <v>611</v>
      </c>
      <c r="E182" s="45" t="n">
        <v>637</v>
      </c>
    </row>
    <row r="183">
      <c r="A183" s="51" t="inlineStr">
        <is>
          <t>MESMEAE202</t>
        </is>
      </c>
      <c r="B183" s="53" t="inlineStr">
        <is>
          <t>044</t>
        </is>
      </c>
      <c r="C183" s="53" t="inlineStr">
        <is>
          <t>Plus de 80 ans</t>
        </is>
      </c>
      <c r="D183" s="45" t="n">
        <v>1</v>
      </c>
      <c r="E183" s="45" t="n">
        <v>1</v>
      </c>
    </row>
    <row r="184">
      <c r="A184" s="51" t="inlineStr">
        <is>
          <t>MESMEAE301</t>
        </is>
      </c>
      <c r="B184" s="53" t="inlineStr">
        <is>
          <t>044</t>
        </is>
      </c>
      <c r="C184" s="53" t="inlineStr">
        <is>
          <t>61 ans 80 ans</t>
        </is>
      </c>
      <c r="D184" s="45" t="n">
        <v>1</v>
      </c>
      <c r="E184" s="45" t="n">
        <v>1</v>
      </c>
    </row>
    <row r="185">
      <c r="A185" s="51" t="inlineStr">
        <is>
          <t>MESMEN001</t>
        </is>
      </c>
      <c r="B185" s="53" t="inlineStr">
        <is>
          <t>010</t>
        </is>
      </c>
      <c r="C185" s="53" t="inlineStr">
        <is>
          <t>Moins de 20 ans</t>
        </is>
      </c>
      <c r="D185" s="45" t="n">
        <v>484683</v>
      </c>
      <c r="E185" s="45" t="n">
        <v>487956</v>
      </c>
    </row>
    <row r="186">
      <c r="A186" s="51" t="inlineStr">
        <is>
          <t>MESMEN001</t>
        </is>
      </c>
      <c r="B186" s="53" t="inlineStr">
        <is>
          <t>010</t>
        </is>
      </c>
      <c r="C186" s="53" t="inlineStr">
        <is>
          <t>21 ans 40 ans</t>
        </is>
      </c>
      <c r="D186" s="45" t="n">
        <v>484825</v>
      </c>
      <c r="E186" s="45" t="n">
        <v>486126</v>
      </c>
    </row>
    <row r="187">
      <c r="A187" s="51" t="inlineStr">
        <is>
          <t>MESMEN001</t>
        </is>
      </c>
      <c r="B187" s="53" t="inlineStr">
        <is>
          <t>010</t>
        </is>
      </c>
      <c r="C187" s="53" t="inlineStr">
        <is>
          <t>41 ans 60 ans</t>
        </is>
      </c>
      <c r="D187" s="45" t="n">
        <v>747787</v>
      </c>
      <c r="E187" s="45" t="n">
        <v>748727</v>
      </c>
    </row>
    <row r="188">
      <c r="A188" s="51" t="inlineStr">
        <is>
          <t>MESMEN001</t>
        </is>
      </c>
      <c r="B188" s="53" t="inlineStr">
        <is>
          <t>010</t>
        </is>
      </c>
      <c r="C188" s="53" t="inlineStr">
        <is>
          <t>61 ans 80 ans</t>
        </is>
      </c>
      <c r="D188" s="45" t="n">
        <v>113744</v>
      </c>
      <c r="E188" s="45" t="n">
        <v>114043</v>
      </c>
    </row>
    <row r="189">
      <c r="A189" s="51" t="inlineStr">
        <is>
          <t>MESMEN001</t>
        </is>
      </c>
      <c r="B189" s="53" t="inlineStr">
        <is>
          <t>010</t>
        </is>
      </c>
      <c r="C189" s="53" t="inlineStr">
        <is>
          <t>Plus de 80 ans</t>
        </is>
      </c>
      <c r="D189" s="45" t="n">
        <v>233</v>
      </c>
      <c r="E189" s="45" t="n">
        <v>240</v>
      </c>
    </row>
    <row r="190">
      <c r="A190" s="51" t="inlineStr">
        <is>
          <t>MESMEN001</t>
        </is>
      </c>
      <c r="B190" s="53" t="inlineStr">
        <is>
          <t>010</t>
        </is>
      </c>
      <c r="C190" s="53" t="n">
        <v/>
      </c>
      <c r="D190" s="45" t="n">
        <v/>
      </c>
      <c r="E190" s="45" t="n">
        <v>6</v>
      </c>
    </row>
    <row r="191">
      <c r="A191" s="51" t="inlineStr">
        <is>
          <t>MESMEN2003</t>
        </is>
      </c>
      <c r="B191" s="53" t="inlineStr">
        <is>
          <t>010</t>
        </is>
      </c>
      <c r="C191" s="53" t="inlineStr">
        <is>
          <t>Moins de 20 ans</t>
        </is>
      </c>
      <c r="D191" s="45" t="n">
        <v>2111</v>
      </c>
      <c r="E191" s="45" t="n">
        <v>2118</v>
      </c>
    </row>
    <row r="192">
      <c r="A192" s="51" t="inlineStr">
        <is>
          <t>MESMEN2003</t>
        </is>
      </c>
      <c r="B192" s="53" t="inlineStr">
        <is>
          <t>010</t>
        </is>
      </c>
      <c r="C192" s="53" t="inlineStr">
        <is>
          <t>21 ans 40 ans</t>
        </is>
      </c>
      <c r="D192" s="45" t="n">
        <v>1382</v>
      </c>
      <c r="E192" s="45" t="n">
        <v>1383</v>
      </c>
    </row>
    <row r="193">
      <c r="A193" s="51" t="inlineStr">
        <is>
          <t>MESMEN2003</t>
        </is>
      </c>
      <c r="B193" s="53" t="inlineStr">
        <is>
          <t>010</t>
        </is>
      </c>
      <c r="C193" s="53" t="inlineStr">
        <is>
          <t>41 ans 60 ans</t>
        </is>
      </c>
      <c r="D193" s="45" t="n">
        <v>3167</v>
      </c>
      <c r="E193" s="45" t="n">
        <v>3169</v>
      </c>
    </row>
    <row r="194">
      <c r="A194" s="51" t="inlineStr">
        <is>
          <t>MESMEN2003</t>
        </is>
      </c>
      <c r="B194" s="53" t="inlineStr">
        <is>
          <t>010</t>
        </is>
      </c>
      <c r="C194" s="53" t="inlineStr">
        <is>
          <t>61 ans 80 ans</t>
        </is>
      </c>
      <c r="D194" s="45" t="n">
        <v>453</v>
      </c>
      <c r="E194" s="45" t="n">
        <v>453</v>
      </c>
    </row>
    <row r="195">
      <c r="A195" s="51" t="inlineStr">
        <is>
          <t>MESMEN3001</t>
        </is>
      </c>
      <c r="B195" s="53" t="inlineStr">
        <is>
          <t>010</t>
        </is>
      </c>
      <c r="C195" s="53" t="inlineStr">
        <is>
          <t>Moins de 20 ans</t>
        </is>
      </c>
      <c r="D195" s="45" t="n">
        <v>346</v>
      </c>
      <c r="E195" s="45" t="n">
        <v>351</v>
      </c>
    </row>
    <row r="196">
      <c r="A196" s="51" t="inlineStr">
        <is>
          <t>MESMEN3001</t>
        </is>
      </c>
      <c r="B196" s="53" t="inlineStr">
        <is>
          <t>010</t>
        </is>
      </c>
      <c r="C196" s="53" t="inlineStr">
        <is>
          <t>21 ans 40 ans</t>
        </is>
      </c>
      <c r="D196" s="45" t="n">
        <v>229</v>
      </c>
      <c r="E196" s="45" t="n">
        <v>230</v>
      </c>
    </row>
    <row r="197">
      <c r="A197" s="51" t="inlineStr">
        <is>
          <t>MESMEN3001</t>
        </is>
      </c>
      <c r="B197" s="53" t="inlineStr">
        <is>
          <t>010</t>
        </is>
      </c>
      <c r="C197" s="53" t="inlineStr">
        <is>
          <t>41 ans 60 ans</t>
        </is>
      </c>
      <c r="D197" s="45" t="n">
        <v>624</v>
      </c>
      <c r="E197" s="45" t="n">
        <v>626</v>
      </c>
    </row>
    <row r="198">
      <c r="A198" s="51" t="inlineStr">
        <is>
          <t>MESMEN3001</t>
        </is>
      </c>
      <c r="B198" s="53" t="inlineStr">
        <is>
          <t>010</t>
        </is>
      </c>
      <c r="C198" s="53" t="inlineStr">
        <is>
          <t>61 ans 80 ans</t>
        </is>
      </c>
      <c r="D198" s="45" t="n">
        <v>91</v>
      </c>
      <c r="E198" s="45" t="n">
        <v>91</v>
      </c>
    </row>
    <row r="199">
      <c r="A199" s="51" t="inlineStr">
        <is>
          <t>MESMNTSALA</t>
        </is>
      </c>
      <c r="B199" s="53" t="inlineStr">
        <is>
          <t>052</t>
        </is>
      </c>
      <c r="C199" s="53" t="inlineStr">
        <is>
          <t>Moins de 20 ans</t>
        </is>
      </c>
      <c r="D199" s="45" t="n">
        <v>398</v>
      </c>
      <c r="E199" s="45" t="n">
        <v>398</v>
      </c>
    </row>
    <row r="200">
      <c r="A200" s="51" t="inlineStr">
        <is>
          <t>MESMNTSALA</t>
        </is>
      </c>
      <c r="B200" s="53" t="inlineStr">
        <is>
          <t>052</t>
        </is>
      </c>
      <c r="C200" s="53" t="inlineStr">
        <is>
          <t>21 ans 40 ans</t>
        </is>
      </c>
      <c r="D200" s="45" t="n">
        <v>414</v>
      </c>
      <c r="E200" s="45" t="n">
        <v>415</v>
      </c>
    </row>
    <row r="201">
      <c r="A201" s="51" t="inlineStr">
        <is>
          <t>MESMNTSALA</t>
        </is>
      </c>
      <c r="B201" s="53" t="inlineStr">
        <is>
          <t>052</t>
        </is>
      </c>
      <c r="C201" s="53" t="inlineStr">
        <is>
          <t>41 ans 60 ans</t>
        </is>
      </c>
      <c r="D201" s="45" t="n">
        <v>730</v>
      </c>
      <c r="E201" s="45" t="n">
        <v>730</v>
      </c>
    </row>
    <row r="202">
      <c r="A202" s="51" t="inlineStr">
        <is>
          <t>MESMNTSALA</t>
        </is>
      </c>
      <c r="B202" s="53" t="inlineStr">
        <is>
          <t>052</t>
        </is>
      </c>
      <c r="C202" s="53" t="inlineStr">
        <is>
          <t>61 ans 80 ans</t>
        </is>
      </c>
      <c r="D202" s="45" t="n">
        <v>167</v>
      </c>
      <c r="E202" s="45" t="n">
        <v>167</v>
      </c>
    </row>
    <row r="203">
      <c r="A203" s="51" t="inlineStr">
        <is>
          <t>MESMUTFR31</t>
        </is>
      </c>
      <c r="B203" s="53" t="inlineStr">
        <is>
          <t>052</t>
        </is>
      </c>
      <c r="C203" s="53" t="inlineStr">
        <is>
          <t>Moins de 20 ans</t>
        </is>
      </c>
      <c r="D203" s="45" t="n">
        <v>363</v>
      </c>
      <c r="E203" s="45" t="n">
        <v>365</v>
      </c>
    </row>
    <row r="204">
      <c r="A204" s="51" t="inlineStr">
        <is>
          <t>MESMUTFR31</t>
        </is>
      </c>
      <c r="B204" s="53" t="inlineStr">
        <is>
          <t>052</t>
        </is>
      </c>
      <c r="C204" s="53" t="inlineStr">
        <is>
          <t>21 ans 40 ans</t>
        </is>
      </c>
      <c r="D204" s="45" t="n">
        <v>407</v>
      </c>
      <c r="E204" s="45" t="n">
        <v>409</v>
      </c>
    </row>
    <row r="205">
      <c r="A205" s="51" t="inlineStr">
        <is>
          <t>MESMUTFR31</t>
        </is>
      </c>
      <c r="B205" s="53" t="inlineStr">
        <is>
          <t>052</t>
        </is>
      </c>
      <c r="C205" s="53" t="inlineStr">
        <is>
          <t>41 ans 60 ans</t>
        </is>
      </c>
      <c r="D205" s="45" t="n">
        <v>318</v>
      </c>
      <c r="E205" s="45" t="n">
        <v>319</v>
      </c>
    </row>
    <row r="206">
      <c r="A206" s="51" t="inlineStr">
        <is>
          <t>MESMUTFR31</t>
        </is>
      </c>
      <c r="B206" s="53" t="inlineStr">
        <is>
          <t>052</t>
        </is>
      </c>
      <c r="C206" s="53" t="inlineStr">
        <is>
          <t>61 ans 80 ans</t>
        </is>
      </c>
      <c r="D206" s="45" t="n">
        <v>91</v>
      </c>
      <c r="E206" s="45" t="n">
        <v>91</v>
      </c>
    </row>
    <row r="207">
      <c r="A207" s="51" t="inlineStr">
        <is>
          <t>MESMUTFR31</t>
        </is>
      </c>
      <c r="B207" s="53" t="inlineStr">
        <is>
          <t>052</t>
        </is>
      </c>
      <c r="C207" s="53" t="inlineStr">
        <is>
          <t>Plus de 80 ans</t>
        </is>
      </c>
      <c r="D207" s="45" t="n">
        <v>4</v>
      </c>
      <c r="E207" s="45" t="n">
        <v>4</v>
      </c>
    </row>
    <row r="208">
      <c r="A208" s="51" t="inlineStr">
        <is>
          <t>OFFSUP</t>
        </is>
      </c>
      <c r="B208" s="53" t="inlineStr">
        <is>
          <t>052</t>
        </is>
      </c>
      <c r="C208" s="53" t="inlineStr">
        <is>
          <t>41 ans 60 ans</t>
        </is>
      </c>
      <c r="D208" s="45" t="n">
        <v>2</v>
      </c>
      <c r="E208" s="45" t="n">
        <v>2</v>
      </c>
    </row>
    <row r="209">
      <c r="A209" s="51" t="inlineStr">
        <is>
          <t>STSNUANCE</t>
        </is>
      </c>
      <c r="B209" s="53" t="inlineStr">
        <is>
          <t>010</t>
        </is>
      </c>
      <c r="C209" s="53" t="inlineStr">
        <is>
          <t>Moins de 20 ans</t>
        </is>
      </c>
      <c r="D209" s="45" t="n">
        <v>87</v>
      </c>
      <c r="E209" s="45" t="n">
        <v>87</v>
      </c>
    </row>
    <row r="210">
      <c r="A210" s="51" t="inlineStr">
        <is>
          <t>STSNUANCE</t>
        </is>
      </c>
      <c r="B210" s="53" t="inlineStr">
        <is>
          <t>010</t>
        </is>
      </c>
      <c r="C210" s="53" t="inlineStr">
        <is>
          <t>21 ans 40 ans</t>
        </is>
      </c>
      <c r="D210" s="45" t="n">
        <v>92</v>
      </c>
      <c r="E210" s="45" t="n">
        <v>92</v>
      </c>
    </row>
    <row r="211">
      <c r="A211" s="51" t="inlineStr">
        <is>
          <t>STSNUANCE</t>
        </is>
      </c>
      <c r="B211" s="53" t="inlineStr">
        <is>
          <t>010</t>
        </is>
      </c>
      <c r="C211" s="53" t="inlineStr">
        <is>
          <t>41 ans 60 ans</t>
        </is>
      </c>
      <c r="D211" s="45" t="n">
        <v>73</v>
      </c>
      <c r="E211" s="45" t="n">
        <v>74</v>
      </c>
    </row>
    <row r="212">
      <c r="A212" s="51" t="inlineStr">
        <is>
          <t>STSNUANCE</t>
        </is>
      </c>
      <c r="B212" s="53" t="inlineStr">
        <is>
          <t>010</t>
        </is>
      </c>
      <c r="C212" s="53" t="inlineStr">
        <is>
          <t>61 ans 80 ans</t>
        </is>
      </c>
      <c r="D212" s="45" t="n">
        <v>11</v>
      </c>
      <c r="E212" s="45" t="n">
        <v>11</v>
      </c>
    </row>
    <row r="213">
      <c r="A213" s="51" t="inlineStr">
        <is>
          <t>STSNUANCE</t>
        </is>
      </c>
      <c r="B213" s="53" t="inlineStr">
        <is>
          <t>010</t>
        </is>
      </c>
      <c r="C213" s="53" t="inlineStr">
        <is>
          <t>Plus de 80 ans</t>
        </is>
      </c>
      <c r="D213" s="45" t="n">
        <v>1</v>
      </c>
      <c r="E213" s="4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4" customWidth="1" style="36" min="1" max="1"/>
    <col width="25" customWidth="1" style="36" min="2" max="2"/>
    <col width="28" customWidth="1" style="36" min="3" max="3"/>
    <col width="26" customWidth="1" style="36" min="4" max="4"/>
    <col width="26" customWidth="1" style="36" min="5" max="5"/>
  </cols>
  <sheetData>
    <row r="1">
      <c r="A1" s="54" t="inlineStr">
        <is>
          <t>codsoc</t>
        </is>
      </c>
      <c r="B1" s="54" t="inlineStr">
        <is>
          <t>010</t>
        </is>
      </c>
    </row>
    <row r="2"/>
    <row r="3">
      <c r="A3" s="44" t="inlineStr">
        <is>
          <t>Étiquettes de lignes</t>
        </is>
      </c>
      <c r="B3" s="44" t="inlineStr">
        <is>
          <t>Somme de nb pp a date</t>
        </is>
      </c>
      <c r="C3" s="44" t="inlineStr">
        <is>
          <t>Somme de nb pp non radie</t>
        </is>
      </c>
      <c r="D3" s="44" t="inlineStr">
        <is>
          <t>% du total société</t>
        </is>
      </c>
      <c r="E3" s="44" t="inlineStr">
        <is>
          <t>Taux radiation</t>
        </is>
      </c>
    </row>
    <row r="4">
      <c r="A4" s="51" t="inlineStr">
        <is>
          <t>21 ans 40 ans</t>
        </is>
      </c>
      <c r="B4" s="45" t="n">
        <v>816003</v>
      </c>
      <c r="C4" s="45" t="n">
        <v>818769</v>
      </c>
      <c r="D4" s="46" t="n">
        <v>0.2016170357578445</v>
      </c>
      <c r="E4" s="46" t="n">
        <v>0.003378242214837152</v>
      </c>
    </row>
    <row r="5">
      <c r="A5" s="51" t="inlineStr">
        <is>
          <t>41 ans 60 ans</t>
        </is>
      </c>
      <c r="B5" s="45" t="n">
        <v>1397337</v>
      </c>
      <c r="C5" s="45" t="n">
        <v>1402785</v>
      </c>
      <c r="D5" s="46" t="n">
        <v>0.3454275302381599</v>
      </c>
      <c r="E5" s="46" t="n">
        <v>0.003883702776975802</v>
      </c>
    </row>
    <row r="6">
      <c r="A6" s="51" t="inlineStr">
        <is>
          <t>61 ans 80 ans</t>
        </is>
      </c>
      <c r="B6" s="45" t="n">
        <v>955075</v>
      </c>
      <c r="C6" s="45" t="n">
        <v>956461</v>
      </c>
      <c r="D6" s="46" t="n">
        <v>0.2355228784162368</v>
      </c>
      <c r="E6" s="46" t="n">
        <v>0.001449092017343101</v>
      </c>
    </row>
    <row r="7">
      <c r="A7" s="51" t="inlineStr">
        <is>
          <t>Moins de 20 ans</t>
        </is>
      </c>
      <c r="B7" s="45" t="n">
        <v>573792</v>
      </c>
      <c r="C7" s="45" t="n">
        <v>577475</v>
      </c>
      <c r="D7" s="46" t="n">
        <v>0.1421998118202586</v>
      </c>
      <c r="E7" s="46" t="n">
        <v>0.006377765271223862</v>
      </c>
    </row>
    <row r="8">
      <c r="A8" s="51" t="inlineStr">
        <is>
          <t>Plus de 80 ans</t>
        </is>
      </c>
      <c r="B8" s="45" t="n">
        <v>305394</v>
      </c>
      <c r="C8" s="45" t="n">
        <v>305464</v>
      </c>
      <c r="D8" s="46" t="n">
        <v>0.07521870785378321</v>
      </c>
      <c r="E8" s="46" t="n">
        <v>0.0002291595736322447</v>
      </c>
    </row>
    <row r="9">
      <c r="A9" s="51" t="n">
        <v/>
      </c>
      <c r="B9" s="45" t="n">
        <v/>
      </c>
      <c r="C9" s="45" t="n">
        <v>57</v>
      </c>
      <c r="D9" s="46" t="n">
        <v>1.403591371705223e-05</v>
      </c>
      <c r="E9" s="46" t="n">
        <v/>
      </c>
    </row>
    <row r="10">
      <c r="A10" s="55" t="inlineStr">
        <is>
          <t>Total général</t>
        </is>
      </c>
      <c r="B10" s="56" t="n">
        <v>4047601</v>
      </c>
      <c r="C10" s="56" t="n">
        <v>4061011</v>
      </c>
      <c r="D10" s="57" t="n">
        <v>1</v>
      </c>
      <c r="E10" s="57" t="n">
        <v>0.003302133385011762</v>
      </c>
    </row>
    <row r="11"/>
    <row r="12">
      <c r="A12" s="54" t="inlineStr">
        <is>
          <t>codsoc</t>
        </is>
      </c>
      <c r="B12" s="54" t="inlineStr">
        <is>
          <t>044</t>
        </is>
      </c>
    </row>
    <row r="13"/>
    <row r="14">
      <c r="A14" s="44" t="inlineStr">
        <is>
          <t>Étiquettes de lignes</t>
        </is>
      </c>
      <c r="B14" s="44" t="inlineStr">
        <is>
          <t>Somme de nb pp a date</t>
        </is>
      </c>
      <c r="C14" s="44" t="inlineStr">
        <is>
          <t>Somme de nb pp non radie</t>
        </is>
      </c>
      <c r="D14" s="44" t="inlineStr">
        <is>
          <t>% du total société</t>
        </is>
      </c>
      <c r="E14" s="44" t="inlineStr">
        <is>
          <t>Taux radiation</t>
        </is>
      </c>
    </row>
    <row r="15">
      <c r="A15" s="51" t="inlineStr">
        <is>
          <t>21 ans 40 ans</t>
        </is>
      </c>
      <c r="B15" s="45" t="n">
        <v>4523</v>
      </c>
      <c r="C15" s="45" t="n">
        <v>4909</v>
      </c>
      <c r="D15" s="46" t="n">
        <v>0.1605560098119378</v>
      </c>
      <c r="E15" s="46" t="n">
        <v>0.07863108576084742</v>
      </c>
    </row>
    <row r="16">
      <c r="A16" s="51" t="inlineStr">
        <is>
          <t>41 ans 60 ans</t>
        </is>
      </c>
      <c r="B16" s="45" t="n">
        <v>10212</v>
      </c>
      <c r="C16" s="45" t="n">
        <v>10891</v>
      </c>
      <c r="D16" s="46" t="n">
        <v>0.3562060506950123</v>
      </c>
      <c r="E16" s="46" t="n">
        <v>0.0623450555504545</v>
      </c>
    </row>
    <row r="17">
      <c r="A17" s="51" t="inlineStr">
        <is>
          <t>61 ans 80 ans</t>
        </is>
      </c>
      <c r="B17" s="45" t="n">
        <v>6125</v>
      </c>
      <c r="C17" s="45" t="n">
        <v>6179</v>
      </c>
      <c r="D17" s="46" t="n">
        <v>0.2020932134096484</v>
      </c>
      <c r="E17" s="46" t="n">
        <v>0.008739278200356044</v>
      </c>
    </row>
    <row r="18">
      <c r="A18" s="51" t="inlineStr">
        <is>
          <t>Moins de 20 ans</t>
        </is>
      </c>
      <c r="B18" s="45" t="n">
        <v>6613</v>
      </c>
      <c r="C18" s="45" t="n">
        <v>7021</v>
      </c>
      <c r="D18" s="46" t="n">
        <v>0.2296320523303352</v>
      </c>
      <c r="E18" s="46" t="n">
        <v>0.05811138014527845</v>
      </c>
    </row>
    <row r="19">
      <c r="A19" s="51" t="inlineStr">
        <is>
          <t>Plus de 80 ans</t>
        </is>
      </c>
      <c r="B19" s="45" t="n">
        <v>1575</v>
      </c>
      <c r="C19" s="45" t="n">
        <v>1575</v>
      </c>
      <c r="D19" s="46" t="n">
        <v>0.05151267375306623</v>
      </c>
      <c r="E19" s="46" t="n">
        <v>0</v>
      </c>
    </row>
    <row r="20">
      <c r="A20" s="55" t="inlineStr">
        <is>
          <t>Total général</t>
        </is>
      </c>
      <c r="B20" s="56" t="n">
        <v>29048</v>
      </c>
      <c r="C20" s="56" t="n">
        <v>30575</v>
      </c>
      <c r="D20" s="57" t="n">
        <v>1</v>
      </c>
      <c r="E20" s="57" t="n">
        <v>0.04994276369582993</v>
      </c>
    </row>
    <row r="21"/>
    <row r="22">
      <c r="A22" s="54" t="inlineStr">
        <is>
          <t>codsoc</t>
        </is>
      </c>
      <c r="B22" s="54" t="inlineStr">
        <is>
          <t>052</t>
        </is>
      </c>
    </row>
    <row r="23"/>
    <row r="24">
      <c r="A24" s="44" t="inlineStr">
        <is>
          <t>Étiquettes de lignes</t>
        </is>
      </c>
      <c r="B24" s="44" t="inlineStr">
        <is>
          <t>Somme de nb pp a date</t>
        </is>
      </c>
      <c r="C24" s="44" t="inlineStr">
        <is>
          <t>Somme de nb pp non radie</t>
        </is>
      </c>
      <c r="D24" s="44" t="inlineStr">
        <is>
          <t>% du total société</t>
        </is>
      </c>
      <c r="E24" s="44" t="inlineStr">
        <is>
          <t>Taux radiation</t>
        </is>
      </c>
    </row>
    <row r="25">
      <c r="A25" s="51" t="inlineStr">
        <is>
          <t>21 ans 40 ans</t>
        </is>
      </c>
      <c r="B25" s="45" t="n">
        <v>2721</v>
      </c>
      <c r="C25" s="45" t="n">
        <v>2730</v>
      </c>
      <c r="D25" s="46" t="n">
        <v>0.316301703163017</v>
      </c>
      <c r="E25" s="46" t="n">
        <v>0.003296703296703297</v>
      </c>
    </row>
    <row r="26">
      <c r="A26" s="51" t="inlineStr">
        <is>
          <t>41 ans 60 ans</t>
        </is>
      </c>
      <c r="B26" s="45" t="n">
        <v>2952</v>
      </c>
      <c r="C26" s="45" t="n">
        <v>2953</v>
      </c>
      <c r="D26" s="46" t="n">
        <v>0.3421388019928166</v>
      </c>
      <c r="E26" s="46" t="n">
        <v>0.0003386386725364037</v>
      </c>
    </row>
    <row r="27">
      <c r="A27" s="51" t="inlineStr">
        <is>
          <t>61 ans 80 ans</t>
        </is>
      </c>
      <c r="B27" s="45" t="n">
        <v>789</v>
      </c>
      <c r="C27" s="45" t="n">
        <v>788</v>
      </c>
      <c r="D27" s="46" t="n">
        <v>0.09129880662727378</v>
      </c>
      <c r="E27" s="46" t="n">
        <v>-0.001269035532994924</v>
      </c>
    </row>
    <row r="28">
      <c r="A28" s="51" t="inlineStr">
        <is>
          <t>Moins de 20 ans</t>
        </is>
      </c>
      <c r="B28" s="45" t="n">
        <v>2102</v>
      </c>
      <c r="C28" s="45" t="n">
        <v>2106</v>
      </c>
      <c r="D28" s="46" t="n">
        <v>0.2440041710114703</v>
      </c>
      <c r="E28" s="46" t="n">
        <v>0.001899335232668566</v>
      </c>
    </row>
    <row r="29">
      <c r="A29" s="51" t="inlineStr">
        <is>
          <t>Plus de 80 ans</t>
        </is>
      </c>
      <c r="B29" s="45" t="n">
        <v>52</v>
      </c>
      <c r="C29" s="45" t="n">
        <v>52</v>
      </c>
      <c r="D29" s="46" t="n">
        <v>0.006024794345962229</v>
      </c>
      <c r="E29" s="46" t="n">
        <v>0</v>
      </c>
    </row>
    <row r="30">
      <c r="A30" s="51" t="n">
        <v/>
      </c>
      <c r="B30" s="45" t="n">
        <v/>
      </c>
      <c r="C30" s="45" t="n">
        <v>2</v>
      </c>
      <c r="D30" s="46" t="n">
        <v>0.0002317228594600857</v>
      </c>
      <c r="E30" s="46" t="n">
        <v/>
      </c>
    </row>
    <row r="31">
      <c r="A31" s="55" t="inlineStr">
        <is>
          <t>Total général</t>
        </is>
      </c>
      <c r="B31" s="56" t="n">
        <v>8616</v>
      </c>
      <c r="C31" s="56" t="n">
        <v>8631</v>
      </c>
      <c r="D31" s="57" t="n">
        <v>1</v>
      </c>
      <c r="E31" s="57" t="n">
        <v>0.001737921445950643</v>
      </c>
    </row>
    <row r="32"/>
    <row r="33">
      <c r="A33" s="54" t="inlineStr">
        <is>
          <t>codsoc</t>
        </is>
      </c>
      <c r="B33" s="54" t="inlineStr">
        <is>
          <t>073</t>
        </is>
      </c>
    </row>
    <row r="34"/>
    <row r="35">
      <c r="A35" s="44" t="inlineStr">
        <is>
          <t>Étiquettes de lignes</t>
        </is>
      </c>
      <c r="B35" s="44" t="inlineStr">
        <is>
          <t>Somme de nb pp a date</t>
        </is>
      </c>
      <c r="C35" s="44" t="inlineStr">
        <is>
          <t>Somme de nb pp non radie</t>
        </is>
      </c>
      <c r="D35" s="44" t="inlineStr">
        <is>
          <t>% du total société</t>
        </is>
      </c>
      <c r="E35" s="44" t="inlineStr">
        <is>
          <t>Taux radiation</t>
        </is>
      </c>
    </row>
    <row r="36">
      <c r="A36" s="51" t="inlineStr">
        <is>
          <t>21 ans 40 ans</t>
        </is>
      </c>
      <c r="B36" s="45" t="n">
        <v>90</v>
      </c>
      <c r="C36" s="45" t="n">
        <v>92</v>
      </c>
      <c r="D36" s="46" t="n">
        <v>0.113022113022113</v>
      </c>
      <c r="E36" s="46" t="n">
        <v>0.02173913043478261</v>
      </c>
    </row>
    <row r="37">
      <c r="A37" s="51" t="inlineStr">
        <is>
          <t>41 ans 60 ans</t>
        </is>
      </c>
      <c r="B37" s="45" t="n">
        <v>617</v>
      </c>
      <c r="C37" s="45" t="n">
        <v>627</v>
      </c>
      <c r="D37" s="46" t="n">
        <v>0.7702702702702703</v>
      </c>
      <c r="E37" s="46" t="n">
        <v>0.01594896331738437</v>
      </c>
    </row>
    <row r="38">
      <c r="A38" s="51" t="inlineStr">
        <is>
          <t>61 ans 80 ans</t>
        </is>
      </c>
      <c r="B38" s="45" t="n">
        <v>94</v>
      </c>
      <c r="C38" s="45" t="n">
        <v>95</v>
      </c>
      <c r="D38" s="46" t="n">
        <v>0.1167076167076167</v>
      </c>
      <c r="E38" s="46" t="n">
        <v>0.01052631578947368</v>
      </c>
    </row>
    <row r="39">
      <c r="A39" s="55" t="inlineStr">
        <is>
          <t>Total général</t>
        </is>
      </c>
      <c r="B39" s="56" t="n">
        <v>801</v>
      </c>
      <c r="C39" s="56" t="n">
        <v>814</v>
      </c>
      <c r="D39" s="57" t="n">
        <v>1</v>
      </c>
      <c r="E39" s="57" t="n">
        <v>0.01597051597051597</v>
      </c>
    </row>
    <row r="40"/>
    <row r="41">
      <c r="A41" s="54" t="inlineStr">
        <is>
          <t>codsoc</t>
        </is>
      </c>
      <c r="B41" s="54" t="inlineStr">
        <is>
          <t>(Toutes)</t>
        </is>
      </c>
    </row>
    <row r="42"/>
    <row r="43">
      <c r="A43" s="44" t="inlineStr">
        <is>
          <t>Étiquettes de lignes</t>
        </is>
      </c>
      <c r="B43" s="44" t="inlineStr">
        <is>
          <t>Somme de nb pp a date</t>
        </is>
      </c>
      <c r="C43" s="44" t="inlineStr">
        <is>
          <t>Somme de nb pp non radie</t>
        </is>
      </c>
      <c r="D43" s="44" t="inlineStr">
        <is>
          <t>% du total société</t>
        </is>
      </c>
      <c r="E43" s="44" t="inlineStr">
        <is>
          <t>Taux radiation</t>
        </is>
      </c>
    </row>
    <row r="44">
      <c r="A44" s="58" t="inlineStr">
        <is>
          <t>21 ans 40 ans</t>
        </is>
      </c>
      <c r="B44" s="59" t="n">
        <v>823337</v>
      </c>
      <c r="C44" s="59" t="n">
        <v>826500</v>
      </c>
      <c r="D44" s="62" t="n">
        <v>0.2015346872530347</v>
      </c>
      <c r="E44" s="62" t="n">
        <v>0.003826981246218996</v>
      </c>
    </row>
    <row r="45">
      <c r="A45" s="58" t="inlineStr">
        <is>
          <t>41 ans 60 ans</t>
        </is>
      </c>
      <c r="B45" s="59" t="n">
        <v>1411118</v>
      </c>
      <c r="C45" s="59" t="n">
        <v>1417256</v>
      </c>
      <c r="D45" s="62" t="n">
        <v>0.34558529306411</v>
      </c>
      <c r="E45" s="62" t="n">
        <v>0.004330904226194844</v>
      </c>
    </row>
    <row r="46">
      <c r="A46" s="58" t="inlineStr">
        <is>
          <t>61 ans 80 ans</t>
        </is>
      </c>
      <c r="B46" s="59" t="n">
        <v>962083</v>
      </c>
      <c r="C46" s="59" t="n">
        <v>963523</v>
      </c>
      <c r="D46" s="62" t="n">
        <v>0.2349465292995835</v>
      </c>
      <c r="E46" s="62" t="n">
        <v>0.001494515439693707</v>
      </c>
    </row>
    <row r="47">
      <c r="A47" s="58" t="inlineStr">
        <is>
          <t>Moins de 20 ans</t>
        </is>
      </c>
      <c r="B47" s="59" t="n">
        <v>582507</v>
      </c>
      <c r="C47" s="59" t="n">
        <v>586602</v>
      </c>
      <c r="D47" s="62" t="n">
        <v>0.1430376897906892</v>
      </c>
      <c r="E47" s="62" t="n">
        <v>0.006980883120071189</v>
      </c>
    </row>
    <row r="48">
      <c r="A48" s="58" t="inlineStr">
        <is>
          <t>Plus de 80 ans</t>
        </is>
      </c>
      <c r="B48" s="59" t="n">
        <v>307021</v>
      </c>
      <c r="C48" s="59" t="n">
        <v>307091</v>
      </c>
      <c r="D48" s="62" t="n">
        <v>0.07488141396639041</v>
      </c>
      <c r="E48" s="62" t="n">
        <v>0.0002279454624199341</v>
      </c>
    </row>
    <row r="49">
      <c r="A49" s="58" t="inlineStr">
        <is>
          <t>Total général</t>
        </is>
      </c>
      <c r="B49" s="59" t="n">
        <v>4086066</v>
      </c>
      <c r="C49" s="59" t="n">
        <v>4101031</v>
      </c>
      <c r="D49" s="60" t="n">
        <v>1</v>
      </c>
      <c r="E49" s="60" t="n">
        <v>0.00364908238928211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2026-07-18T09:20:11Z</dcterms:created>
  <dcterms:modified xsi:type="dcterms:W3CDTF">2026-08-03T09:52:42Z</dcterms:modified>
  <cp:lastModifiedBy>MOUSSA Nidhal</cp:lastModifiedBy>
</cp:coreProperties>
</file>