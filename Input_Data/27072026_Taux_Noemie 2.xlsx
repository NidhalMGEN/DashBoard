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mc:AlternateContent xmlns:mc="http://schemas.openxmlformats.org/markup-compatibility/2006">
    <mc:Choice Requires="x15">
      <x15ac:absPath xmlns:x15ac="http://schemas.microsoft.com/office/spreadsheetml/2010/11/ac" url="https://mgen-my.sharepoint.com/personal/lpillon_mgen_fr/Documents/Documents/KPI/Output/SQL/27072026/"/>
    </mc:Choice>
  </mc:AlternateContent>
  <xr:revisionPtr revIDLastSave="0" documentId="8_{62AA4D1F-2AB7-496E-914D-4BA3FB52EE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0" i="1" l="1"/>
  <c r="D30" i="1"/>
  <c r="B30" i="1"/>
  <c r="D29" i="1"/>
  <c r="C29" i="1"/>
  <c r="B29" i="1"/>
  <c r="E29" i="1" s="1"/>
  <c r="G16" i="1"/>
  <c r="H16" i="1"/>
  <c r="F16" i="1"/>
  <c r="I16" i="1" s="1"/>
  <c r="G15" i="1"/>
  <c r="H15" i="1"/>
  <c r="F15" i="1"/>
  <c r="G13" i="1"/>
  <c r="H13" i="1"/>
  <c r="F13" i="1"/>
  <c r="G12" i="1"/>
  <c r="I12" i="1" s="1"/>
  <c r="H12" i="1"/>
  <c r="F12" i="1"/>
  <c r="G9" i="1"/>
  <c r="H9" i="1"/>
  <c r="F9" i="1"/>
  <c r="G10" i="1"/>
  <c r="I10" i="1" s="1"/>
  <c r="H10" i="1"/>
  <c r="F10" i="1"/>
  <c r="I4" i="1"/>
  <c r="I14" i="1"/>
  <c r="I6" i="1"/>
  <c r="I17" i="1"/>
  <c r="I8" i="1"/>
  <c r="I7" i="1"/>
  <c r="I5" i="1"/>
  <c r="I11" i="1"/>
  <c r="J27" i="1"/>
  <c r="J26" i="1"/>
  <c r="J14" i="1"/>
  <c r="J6" i="1"/>
  <c r="J17" i="1"/>
  <c r="J8" i="1"/>
  <c r="J7" i="1"/>
  <c r="J5" i="1"/>
  <c r="J11" i="1"/>
  <c r="C28" i="1"/>
  <c r="D28" i="1"/>
  <c r="B28" i="1"/>
  <c r="E30" i="1" l="1"/>
  <c r="I9" i="1"/>
  <c r="I13" i="1"/>
  <c r="I15" i="1"/>
  <c r="E28" i="1"/>
</calcChain>
</file>

<file path=xl/sharedStrings.xml><?xml version="1.0" encoding="utf-8"?>
<sst xmlns="http://schemas.openxmlformats.org/spreadsheetml/2006/main" count="70" uniqueCount="48">
  <si>
    <t>Filtres appliqués : 
typofr est COLL ou INDIV
risque est SANTE/PREV ou SANTE</t>
  </si>
  <si>
    <t>libcrt</t>
  </si>
  <si>
    <t>Actifs</t>
  </si>
  <si>
    <t>non Actifs</t>
  </si>
  <si>
    <t>Non_noémisable</t>
  </si>
  <si>
    <t>% Actifs</t>
  </si>
  <si>
    <t>Actifs2</t>
  </si>
  <si>
    <t>Non actifs2</t>
  </si>
  <si>
    <t>Non_Noémisable2</t>
  </si>
  <si>
    <t>Taux</t>
  </si>
  <si>
    <t>Offres</t>
  </si>
  <si>
    <t>Individuel ou Collectif</t>
  </si>
  <si>
    <t>ordre</t>
  </si>
  <si>
    <t>NUANCE</t>
  </si>
  <si>
    <t>C</t>
  </si>
  <si>
    <t>PSC SANTE MEAE</t>
  </si>
  <si>
    <t>Education Jeunesse Sports Enseignement Supérieur Recherche</t>
  </si>
  <si>
    <t>La juridiction administrative</t>
  </si>
  <si>
    <t>PSC SANTE MINISTERE DE LA CULTURE</t>
  </si>
  <si>
    <t>MAEE PR</t>
  </si>
  <si>
    <t>MAEE PR+MAEE SANTE RETRAITE + MAEE PNR</t>
  </si>
  <si>
    <t>I</t>
  </si>
  <si>
    <t>MSP RETRAITES</t>
  </si>
  <si>
    <t>MSP RETRAITES+MGEN SANTE</t>
  </si>
  <si>
    <t>MGEN ALTERNATIVE</t>
  </si>
  <si>
    <t>MTE ACTIF</t>
  </si>
  <si>
    <t>MTE ACTIF + MTE</t>
  </si>
  <si>
    <t>EFF SANTE</t>
  </si>
  <si>
    <t>EFS SANTE + EFS SANTE BRED</t>
  </si>
  <si>
    <t>MGEN OJI</t>
  </si>
  <si>
    <t>MISP ACTIF</t>
  </si>
  <si>
    <t>MISP ACTIF + MISP + MISP R</t>
  </si>
  <si>
    <t>C2S PF</t>
  </si>
  <si>
    <t>C2S PF + C2S</t>
  </si>
  <si>
    <t>C2S SORTIE</t>
  </si>
  <si>
    <t>MAEE SANTE RETRAITE</t>
  </si>
  <si>
    <t>MAEE PNR</t>
  </si>
  <si>
    <t>MGEN SANTE</t>
  </si>
  <si>
    <t>EFF SANTE BRED</t>
  </si>
  <si>
    <t>MTE</t>
  </si>
  <si>
    <t>MISP</t>
  </si>
  <si>
    <t>MISP R</t>
  </si>
  <si>
    <t>C2S</t>
  </si>
  <si>
    <t>PSC SANTE MIOM</t>
  </si>
  <si>
    <t>PSC SANTE MSST</t>
  </si>
  <si>
    <t>Total</t>
  </si>
  <si>
    <t>Total Collectif</t>
  </si>
  <si>
    <t>Total Individuel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</si>
</sst>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\ %;\-0.00\ %;0.00\ %"/>
  </numFmts>
  <fonts count="2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0" xfId="0" applyNumberFormat="1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10" fontId="1" fillId="2" borderId="0" xfId="0" applyNumberFormat="1" applyFont="1" applyFill="1"/>
    <xf numFmtId="3" fontId="1" fillId="2" borderId="0" xfId="0" applyNumberFormat="1" applyFont="1" applyFill="1"/>
  </cellXfs>
  <cellStyles count="1">
    <cellStyle name="Normal" xfId="0" builtinId="0"/>
  </cellStyles>
  <dxfs count="11"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4" formatCode="0.00%"/>
      <fill>
        <patternFill patternType="solid">
          <fgColor indexed="64"/>
          <bgColor theme="9" tint="0.79998168889431442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" formatCode="#,##0"/>
      <fill>
        <patternFill patternType="solid">
          <fgColor indexed="64"/>
          <bgColor theme="9" tint="0.79998168889431442"/>
        </patternFill>
      </fill>
    </dxf>
    <dxf>
      <numFmt numFmtId="14" formatCode="0.00%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L28" totalsRowCount="1">
  <autoFilter ref="A3:L27" xr:uid="{00000000-0009-0000-0100-000001000000}"/>
  <sortState xmlns:xlrd2="http://schemas.microsoft.com/office/spreadsheetml/2017/richdata2" ref="A4:L27">
    <sortCondition ref="L3:L27"/>
  </sortState>
  <tableColumns count="12">
    <tableColumn id="1" xr3:uid="{00000000-0010-0000-0000-000001000000}" name="libcrt" totalsRowLabel="Total"/>
    <tableColumn id="2" xr3:uid="{00000000-0010-0000-0000-000002000000}" name="Actifs" totalsRowFunction="custom" totalsRowDxfId="10">
      <totalsRowFormula>SUM(B4:B25)</totalsRowFormula>
    </tableColumn>
    <tableColumn id="3" xr3:uid="{00000000-0010-0000-0000-000003000000}" name="non Actifs" totalsRowFunction="custom" totalsRowDxfId="9">
      <totalsRowFormula>SUM(C4:C27)</totalsRowFormula>
    </tableColumn>
    <tableColumn id="4" xr3:uid="{00000000-0010-0000-0000-000004000000}" name="Non_noémisable" totalsRowFunction="custom" totalsRowDxfId="8">
      <totalsRowFormula>SUM(D4:D25)</totalsRowFormula>
    </tableColumn>
    <tableColumn id="5" xr3:uid="{00000000-0010-0000-0000-000005000000}" name="% Actifs" totalsRowFunction="custom" totalsRowDxfId="7">
      <totalsRowFormula>Table1[[#Totals],[Actifs]]/(Table1[[#Totals],[Actifs]]+Table1[[#Totals],[non Actifs]]+Table1[[#Totals],[Non_noémisable]])</totalsRowFormula>
    </tableColumn>
    <tableColumn id="6" xr3:uid="{718E640C-8A8C-4742-BA7C-1BF999EE0AA9}" name="Actifs2" dataDxfId="6"/>
    <tableColumn id="7" xr3:uid="{64DB8B92-C0BD-47A0-AA97-73F6F2A07C80}" name="Non actifs2" dataDxfId="5"/>
    <tableColumn id="8" xr3:uid="{E2D3B15C-744F-4DF2-B611-B6CCB6FB5EAE}" name="Non_Noémisable2" dataDxfId="4"/>
    <tableColumn id="9" xr3:uid="{A3C6E066-77F6-45B7-9A51-A61476EA5D40}" name="Taux" dataDxfId="3"/>
    <tableColumn id="10" xr3:uid="{C569E298-6920-4505-A956-BD4C7DB6639F}" name="Offres" dataDxfId="2"/>
    <tableColumn id="11" xr3:uid="{20DD7B5F-F1EA-4E48-947B-61DBB0B87502}" name="Individuel ou Collectif" dataDxfId="1"/>
    <tableColumn id="12" xr3:uid="{CC9E70E2-F20A-4193-B2EB-F2C7F28D67B2}" name="ordr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workbookViewId="0">
      <selection activeCell="F32" sqref="F32"/>
    </sheetView>
  </sheetViews>
  <sheetFormatPr defaultColWidth="9.140625" defaultRowHeight="15"/>
  <cols>
    <col min="1" max="1" width="69.42578125" bestFit="1" customWidth="1"/>
    <col min="2" max="2" width="8.85546875" bestFit="1" customWidth="1"/>
    <col min="3" max="3" width="12.140625" bestFit="1" customWidth="1"/>
    <col min="4" max="4" width="18.5703125" bestFit="1" customWidth="1"/>
    <col min="5" max="5" width="12" bestFit="1" customWidth="1"/>
    <col min="6" max="6" width="11.7109375" bestFit="1" customWidth="1"/>
    <col min="10" max="10" width="57.5703125" bestFit="1" customWidth="1"/>
    <col min="11" max="11" width="23" bestFit="1" customWidth="1"/>
  </cols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s="4" t="s">
        <v>6</v>
      </c>
      <c r="G3" s="4" t="s">
        <v>7</v>
      </c>
      <c r="H3" s="4" t="s">
        <v>8</v>
      </c>
      <c r="I3" s="5" t="s">
        <v>9</v>
      </c>
      <c r="J3" s="4" t="s">
        <v>10</v>
      </c>
      <c r="K3" s="4" t="s">
        <v>11</v>
      </c>
      <c r="L3" s="4" t="s">
        <v>12</v>
      </c>
    </row>
    <row r="4" spans="1:12">
      <c r="A4" t="s">
        <v>13</v>
      </c>
      <c r="B4" s="1">
        <v>234</v>
      </c>
      <c r="C4" s="1">
        <v>20</v>
      </c>
      <c r="D4" s="1">
        <v>8</v>
      </c>
      <c r="E4" s="2">
        <v>0.89312977099236601</v>
      </c>
      <c r="F4" s="6"/>
      <c r="G4" s="4"/>
      <c r="H4" s="4"/>
      <c r="I4" s="5">
        <f>Table1[[#This Row],[% Actifs]]</f>
        <v>0.89312977099236601</v>
      </c>
      <c r="J4" s="4"/>
      <c r="K4" s="4" t="s">
        <v>14</v>
      </c>
      <c r="L4" s="4">
        <v>1</v>
      </c>
    </row>
    <row r="5" spans="1:12">
      <c r="A5" t="s">
        <v>15</v>
      </c>
      <c r="B5" s="1">
        <v>19543</v>
      </c>
      <c r="C5" s="1">
        <v>2132</v>
      </c>
      <c r="D5" s="1">
        <v>949</v>
      </c>
      <c r="E5" s="2">
        <v>0.86381718528995799</v>
      </c>
      <c r="F5" s="6"/>
      <c r="G5" s="4"/>
      <c r="H5" s="4"/>
      <c r="I5" s="5">
        <f>Table1[[#This Row],[% Actifs]]</f>
        <v>0.86381718528995799</v>
      </c>
      <c r="J5" s="4" t="str">
        <f>Table1[[#This Row],[libcrt]]</f>
        <v>PSC SANTE MEAE</v>
      </c>
      <c r="K5" s="4" t="s">
        <v>14</v>
      </c>
      <c r="L5" s="4">
        <v>2</v>
      </c>
    </row>
    <row r="6" spans="1:12">
      <c r="A6" t="s">
        <v>16</v>
      </c>
      <c r="B6" s="1">
        <v>1526800</v>
      </c>
      <c r="C6" s="1">
        <v>154224</v>
      </c>
      <c r="D6" s="1">
        <v>145408</v>
      </c>
      <c r="E6" s="2">
        <v>0.83594680776508501</v>
      </c>
      <c r="F6" s="6"/>
      <c r="G6" s="4"/>
      <c r="H6" s="4"/>
      <c r="I6" s="5">
        <f>Table1[[#This Row],[% Actifs]]</f>
        <v>0.83594680776508501</v>
      </c>
      <c r="J6" s="4" t="str">
        <f>Table1[[#This Row],[libcrt]]</f>
        <v>Education Jeunesse Sports Enseignement Supérieur Recherche</v>
      </c>
      <c r="K6" s="4" t="s">
        <v>14</v>
      </c>
      <c r="L6" s="4">
        <v>3</v>
      </c>
    </row>
    <row r="7" spans="1:12">
      <c r="A7" t="s">
        <v>17</v>
      </c>
      <c r="B7" s="1">
        <v>3858</v>
      </c>
      <c r="C7" s="1">
        <v>360</v>
      </c>
      <c r="D7" s="1">
        <v>356</v>
      </c>
      <c r="E7" s="2">
        <v>0.84346305203323102</v>
      </c>
      <c r="F7" s="6"/>
      <c r="G7" s="4"/>
      <c r="H7" s="4"/>
      <c r="I7" s="5">
        <f>Table1[[#This Row],[% Actifs]]</f>
        <v>0.84346305203323102</v>
      </c>
      <c r="J7" s="4" t="str">
        <f>Table1[[#This Row],[libcrt]]</f>
        <v>La juridiction administrative</v>
      </c>
      <c r="K7" s="4" t="s">
        <v>14</v>
      </c>
      <c r="L7" s="4">
        <v>4</v>
      </c>
    </row>
    <row r="8" spans="1:12">
      <c r="A8" t="s">
        <v>18</v>
      </c>
      <c r="B8" s="1">
        <v>23572</v>
      </c>
      <c r="C8" s="1">
        <v>1818</v>
      </c>
      <c r="D8" s="1">
        <v>2740</v>
      </c>
      <c r="E8" s="2">
        <v>0.83796658371845001</v>
      </c>
      <c r="F8" s="6"/>
      <c r="G8" s="4"/>
      <c r="H8" s="4"/>
      <c r="I8" s="5">
        <f>Table1[[#This Row],[% Actifs]]</f>
        <v>0.83796658371845001</v>
      </c>
      <c r="J8" s="4" t="str">
        <f>Table1[[#This Row],[libcrt]]</f>
        <v>PSC SANTE MINISTERE DE LA CULTURE</v>
      </c>
      <c r="K8" s="4" t="s">
        <v>14</v>
      </c>
      <c r="L8" s="4">
        <v>5</v>
      </c>
    </row>
    <row r="9" spans="1:12">
      <c r="A9" t="s">
        <v>19</v>
      </c>
      <c r="B9" s="1">
        <v>635</v>
      </c>
      <c r="C9" s="1">
        <v>3</v>
      </c>
      <c r="D9" s="1">
        <v>1</v>
      </c>
      <c r="E9" s="2">
        <v>0.99374021909233201</v>
      </c>
      <c r="F9" s="6">
        <f>B18+B19+Table1[[#This Row],[Actifs]]</f>
        <v>6202</v>
      </c>
      <c r="G9" s="6">
        <f>C18+C19+Table1[[#This Row],[non Actifs]]</f>
        <v>147</v>
      </c>
      <c r="H9" s="6">
        <f>D18+D19+Table1[[#This Row],[Non_noémisable]]</f>
        <v>12</v>
      </c>
      <c r="I9" s="5">
        <f>Table1[[#This Row],[Actifs2]]/(Table1[[#This Row],[Actifs2]]+Table1[[#This Row],[Non actifs2]]+Table1[[#This Row],[Non_Noémisable2]])</f>
        <v>0.97500393019965415</v>
      </c>
      <c r="J9" s="4" t="s">
        <v>20</v>
      </c>
      <c r="K9" s="4" t="s">
        <v>21</v>
      </c>
      <c r="L9" s="4">
        <v>6</v>
      </c>
    </row>
    <row r="10" spans="1:12">
      <c r="A10" t="s">
        <v>22</v>
      </c>
      <c r="B10" s="1">
        <v>917446</v>
      </c>
      <c r="C10" s="1">
        <v>9960</v>
      </c>
      <c r="D10" s="1">
        <v>1822</v>
      </c>
      <c r="E10" s="2">
        <v>0.98732065757811904</v>
      </c>
      <c r="F10" s="6">
        <f>Table1[[#This Row],[Actifs]]+B20</f>
        <v>1114038</v>
      </c>
      <c r="G10" s="6">
        <f>Table1[[#This Row],[non Actifs]]+C20</f>
        <v>31661</v>
      </c>
      <c r="H10" s="6">
        <f>Table1[[#This Row],[Non_noémisable]]+D20</f>
        <v>4527</v>
      </c>
      <c r="I10" s="5">
        <f>Table1[[#This Row],[Actifs2]]/(Table1[[#This Row],[Actifs2]]+Table1[[#This Row],[Non actifs2]]+Table1[[#This Row],[Non_Noémisable2]])</f>
        <v>0.9685383568098791</v>
      </c>
      <c r="J10" s="4" t="s">
        <v>23</v>
      </c>
      <c r="K10" s="4" t="s">
        <v>21</v>
      </c>
      <c r="L10" s="4">
        <v>7</v>
      </c>
    </row>
    <row r="11" spans="1:12">
      <c r="A11" t="s">
        <v>24</v>
      </c>
      <c r="B11" s="1">
        <v>23889</v>
      </c>
      <c r="C11" s="1">
        <v>1216</v>
      </c>
      <c r="D11" s="1">
        <v>55</v>
      </c>
      <c r="E11" s="2">
        <v>0.94948330683624804</v>
      </c>
      <c r="F11" s="6"/>
      <c r="G11" s="4"/>
      <c r="H11" s="4"/>
      <c r="I11" s="5">
        <f>Table1[[#This Row],[% Actifs]]</f>
        <v>0.94948330683624804</v>
      </c>
      <c r="J11" s="4" t="str">
        <f>Table1[[#This Row],[libcrt]]</f>
        <v>MGEN ALTERNATIVE</v>
      </c>
      <c r="K11" s="4" t="s">
        <v>21</v>
      </c>
      <c r="L11" s="4">
        <v>8</v>
      </c>
    </row>
    <row r="12" spans="1:12">
      <c r="A12" t="s">
        <v>25</v>
      </c>
      <c r="B12" s="1">
        <v>6625</v>
      </c>
      <c r="C12" s="1">
        <v>532</v>
      </c>
      <c r="D12" s="1">
        <v>73</v>
      </c>
      <c r="E12" s="2">
        <v>0.91632088520055299</v>
      </c>
      <c r="F12" s="6">
        <f>Table1[[#This Row],[Actifs]]+B22</f>
        <v>6682</v>
      </c>
      <c r="G12" s="6">
        <f>Table1[[#This Row],[non Actifs]]+C22</f>
        <v>538</v>
      </c>
      <c r="H12" s="6">
        <f>Table1[[#This Row],[Non_noémisable]]+D22</f>
        <v>75</v>
      </c>
      <c r="I12" s="5">
        <f>Table1[[#This Row],[Actifs2]]/(Table1[[#This Row],[Actifs2]]+Table1[[#This Row],[Non actifs2]]+Table1[[#This Row],[Non_Noémisable2]])</f>
        <v>0.91596984235777934</v>
      </c>
      <c r="J12" s="4" t="s">
        <v>26</v>
      </c>
      <c r="K12" s="4" t="s">
        <v>21</v>
      </c>
      <c r="L12" s="4">
        <v>9</v>
      </c>
    </row>
    <row r="13" spans="1:12">
      <c r="A13" t="s">
        <v>27</v>
      </c>
      <c r="B13" s="1">
        <v>99001</v>
      </c>
      <c r="C13" s="1">
        <v>11717</v>
      </c>
      <c r="D13" s="1">
        <v>513</v>
      </c>
      <c r="E13" s="2">
        <v>0.89004863752011598</v>
      </c>
      <c r="F13" s="6">
        <f>Table1[[#This Row],[Actifs]]+B21</f>
        <v>99797</v>
      </c>
      <c r="G13" s="6">
        <f>Table1[[#This Row],[non Actifs]]+C21</f>
        <v>11820</v>
      </c>
      <c r="H13" s="6">
        <f>Table1[[#This Row],[Non_noémisable]]+D21</f>
        <v>515</v>
      </c>
      <c r="I13" s="5">
        <f>Table1[[#This Row],[Actifs2]]/(Table1[[#This Row],[Actifs2]]+Table1[[#This Row],[Non actifs2]]+Table1[[#This Row],[Non_Noémisable2]])</f>
        <v>0.88999571933078869</v>
      </c>
      <c r="J13" s="4" t="s">
        <v>28</v>
      </c>
      <c r="K13" s="4" t="s">
        <v>21</v>
      </c>
      <c r="L13" s="4">
        <v>10</v>
      </c>
    </row>
    <row r="14" spans="1:12">
      <c r="A14" t="s">
        <v>29</v>
      </c>
      <c r="B14" s="1">
        <v>24916</v>
      </c>
      <c r="C14" s="1">
        <v>6653</v>
      </c>
      <c r="D14" s="1">
        <v>843</v>
      </c>
      <c r="E14" s="2">
        <v>0.76872763174132996</v>
      </c>
      <c r="F14" s="6"/>
      <c r="G14" s="4"/>
      <c r="H14" s="4"/>
      <c r="I14" s="5">
        <f>Table1[[#This Row],[% Actifs]]</f>
        <v>0.76872763174132996</v>
      </c>
      <c r="J14" s="4" t="str">
        <f>Table1[[#This Row],[libcrt]]</f>
        <v>MGEN OJI</v>
      </c>
      <c r="K14" s="4" t="s">
        <v>21</v>
      </c>
      <c r="L14" s="4">
        <v>11</v>
      </c>
    </row>
    <row r="15" spans="1:12">
      <c r="A15" t="s">
        <v>30</v>
      </c>
      <c r="B15" s="1">
        <v>4204</v>
      </c>
      <c r="C15" s="1">
        <v>1272</v>
      </c>
      <c r="D15" s="1">
        <v>1818</v>
      </c>
      <c r="E15" s="2">
        <v>0.57636413490540195</v>
      </c>
      <c r="F15" s="6">
        <f>Table1[[#This Row],[Actifs]]+B23+B24</f>
        <v>6851</v>
      </c>
      <c r="G15" s="6">
        <f>Table1[[#This Row],[non Actifs]]+C23+C24</f>
        <v>3535</v>
      </c>
      <c r="H15" s="6">
        <f>Table1[[#This Row],[Non_noémisable]]+D23+D24</f>
        <v>6778</v>
      </c>
      <c r="I15" s="5">
        <f>Table1[[#This Row],[Actifs2]]/(Table1[[#This Row],[Actifs2]]+Table1[[#This Row],[Non actifs2]]+Table1[[#This Row],[Non_Noémisable2]])</f>
        <v>0.39914938242833836</v>
      </c>
      <c r="J15" s="4" t="s">
        <v>31</v>
      </c>
      <c r="K15" s="4" t="s">
        <v>21</v>
      </c>
      <c r="L15" s="4">
        <v>12</v>
      </c>
    </row>
    <row r="16" spans="1:12">
      <c r="A16" t="s">
        <v>32</v>
      </c>
      <c r="B16" s="1">
        <v>8833</v>
      </c>
      <c r="C16" s="1">
        <v>6881</v>
      </c>
      <c r="D16" s="1">
        <v>68</v>
      </c>
      <c r="E16" s="2">
        <v>0.55968825243948805</v>
      </c>
      <c r="F16" s="6">
        <f>Table1[[#This Row],[Actifs]]+B25</f>
        <v>11379</v>
      </c>
      <c r="G16" s="6">
        <f>Table1[[#This Row],[non Actifs]]+C25</f>
        <v>8853</v>
      </c>
      <c r="H16" s="6">
        <f>Table1[[#This Row],[Non_noémisable]]+D25</f>
        <v>16342</v>
      </c>
      <c r="I16" s="5">
        <f>Table1[[#This Row],[Actifs2]]/(Table1[[#This Row],[Actifs2]]+Table1[[#This Row],[Non actifs2]]+Table1[[#This Row],[Non_Noémisable2]])</f>
        <v>0.31112265543828949</v>
      </c>
      <c r="J16" s="4" t="s">
        <v>33</v>
      </c>
      <c r="K16" s="4" t="s">
        <v>21</v>
      </c>
      <c r="L16" s="4">
        <v>13</v>
      </c>
    </row>
    <row r="17" spans="1:12">
      <c r="A17" t="s">
        <v>34</v>
      </c>
      <c r="B17" s="1">
        <v>894</v>
      </c>
      <c r="C17" s="1">
        <v>165</v>
      </c>
      <c r="D17" s="1">
        <v>8</v>
      </c>
      <c r="E17" s="2">
        <v>0.83786316776007497</v>
      </c>
      <c r="F17" s="6"/>
      <c r="G17" s="4"/>
      <c r="H17" s="4"/>
      <c r="I17" s="5">
        <f>Table1[[#This Row],[% Actifs]]</f>
        <v>0.83786316776007497</v>
      </c>
      <c r="J17" s="4" t="str">
        <f>Table1[[#This Row],[libcrt]]</f>
        <v>C2S SORTIE</v>
      </c>
      <c r="K17" s="4" t="s">
        <v>21</v>
      </c>
      <c r="L17" s="4">
        <v>14</v>
      </c>
    </row>
    <row r="18" spans="1:12">
      <c r="A18" t="s">
        <v>35</v>
      </c>
      <c r="B18" s="1">
        <v>5467</v>
      </c>
      <c r="C18" s="1">
        <v>140</v>
      </c>
      <c r="D18" s="1">
        <v>10</v>
      </c>
      <c r="E18" s="2">
        <v>0.97329535339148998</v>
      </c>
      <c r="F18" s="6"/>
      <c r="G18" s="4"/>
      <c r="H18" s="4"/>
      <c r="I18" s="5"/>
      <c r="J18" s="4"/>
      <c r="K18" s="4" t="s">
        <v>21</v>
      </c>
      <c r="L18" s="4"/>
    </row>
    <row r="19" spans="1:12">
      <c r="A19" t="s">
        <v>36</v>
      </c>
      <c r="B19" s="1">
        <v>100</v>
      </c>
      <c r="C19" s="1">
        <v>4</v>
      </c>
      <c r="D19" s="1">
        <v>1</v>
      </c>
      <c r="E19" s="2">
        <v>0.952380952380952</v>
      </c>
      <c r="F19" s="6"/>
      <c r="G19" s="4"/>
      <c r="H19" s="4"/>
      <c r="I19" s="5"/>
      <c r="J19" s="4"/>
      <c r="K19" s="4" t="s">
        <v>21</v>
      </c>
      <c r="L19" s="4"/>
    </row>
    <row r="20" spans="1:12">
      <c r="A20" t="s">
        <v>37</v>
      </c>
      <c r="B20" s="1">
        <v>196592</v>
      </c>
      <c r="C20" s="1">
        <v>21701</v>
      </c>
      <c r="D20" s="1">
        <v>2705</v>
      </c>
      <c r="E20" s="2">
        <v>0.88956461144444698</v>
      </c>
      <c r="F20" s="6"/>
      <c r="G20" s="4"/>
      <c r="H20" s="4"/>
      <c r="I20" s="5"/>
      <c r="J20" s="4"/>
      <c r="K20" s="4" t="s">
        <v>21</v>
      </c>
      <c r="L20" s="4"/>
    </row>
    <row r="21" spans="1:12">
      <c r="A21" t="s">
        <v>38</v>
      </c>
      <c r="B21" s="1">
        <v>796</v>
      </c>
      <c r="C21" s="1">
        <v>103</v>
      </c>
      <c r="D21" s="1">
        <v>2</v>
      </c>
      <c r="E21" s="2">
        <v>0.88346281908989999</v>
      </c>
      <c r="F21" s="6"/>
      <c r="G21" s="4"/>
      <c r="H21" s="4"/>
      <c r="I21" s="5"/>
      <c r="J21" s="4"/>
      <c r="K21" s="4" t="s">
        <v>21</v>
      </c>
      <c r="L21" s="4"/>
    </row>
    <row r="22" spans="1:12">
      <c r="A22" t="s">
        <v>39</v>
      </c>
      <c r="B22" s="1">
        <v>57</v>
      </c>
      <c r="C22" s="1">
        <v>6</v>
      </c>
      <c r="D22" s="1">
        <v>2</v>
      </c>
      <c r="E22" s="2">
        <v>0.87692307692307703</v>
      </c>
      <c r="F22" s="6"/>
      <c r="G22" s="4"/>
      <c r="H22" s="4"/>
      <c r="I22" s="5"/>
      <c r="J22" s="4"/>
      <c r="K22" s="4" t="s">
        <v>21</v>
      </c>
      <c r="L22" s="4"/>
    </row>
    <row r="23" spans="1:12">
      <c r="A23" t="s">
        <v>40</v>
      </c>
      <c r="B23" s="1">
        <v>921</v>
      </c>
      <c r="C23" s="1">
        <v>398</v>
      </c>
      <c r="D23" s="1">
        <v>1086</v>
      </c>
      <c r="E23" s="2">
        <v>0.38295218295218297</v>
      </c>
      <c r="F23" s="6"/>
      <c r="G23" s="4"/>
      <c r="H23" s="4"/>
      <c r="I23" s="5"/>
      <c r="J23" s="4"/>
      <c r="K23" s="4" t="s">
        <v>21</v>
      </c>
      <c r="L23" s="4"/>
    </row>
    <row r="24" spans="1:12">
      <c r="A24" t="s">
        <v>41</v>
      </c>
      <c r="B24" s="1">
        <v>1726</v>
      </c>
      <c r="C24" s="1">
        <v>1865</v>
      </c>
      <c r="D24" s="1">
        <v>3874</v>
      </c>
      <c r="E24" s="2">
        <v>0.23121232417950399</v>
      </c>
      <c r="F24" s="6"/>
      <c r="G24" s="4"/>
      <c r="H24" s="4"/>
      <c r="I24" s="5"/>
      <c r="J24" s="4"/>
      <c r="K24" s="4" t="s">
        <v>21</v>
      </c>
      <c r="L24" s="4"/>
    </row>
    <row r="25" spans="1:12">
      <c r="A25" t="s">
        <v>42</v>
      </c>
      <c r="B25" s="1">
        <v>2546</v>
      </c>
      <c r="C25" s="1">
        <v>1972</v>
      </c>
      <c r="D25" s="1">
        <v>16274</v>
      </c>
      <c r="E25" s="2">
        <v>0.122450942670258</v>
      </c>
      <c r="F25" s="6"/>
      <c r="G25" s="4"/>
      <c r="H25" s="4"/>
      <c r="I25" s="5"/>
      <c r="J25" s="4"/>
      <c r="K25" s="4" t="s">
        <v>21</v>
      </c>
      <c r="L25" s="4"/>
    </row>
    <row r="26" spans="1:12">
      <c r="A26" t="s">
        <v>43</v>
      </c>
      <c r="B26" s="1"/>
      <c r="C26" s="1">
        <v>526</v>
      </c>
      <c r="D26" s="1"/>
      <c r="E26" s="2"/>
      <c r="F26" s="6"/>
      <c r="G26" s="4"/>
      <c r="H26" s="4"/>
      <c r="I26" s="5"/>
      <c r="J26" s="4" t="str">
        <f>Table1[[#This Row],[libcrt]]</f>
        <v>PSC SANTE MIOM</v>
      </c>
      <c r="K26" s="4" t="s">
        <v>21</v>
      </c>
      <c r="L26" s="4"/>
    </row>
    <row r="27" spans="1:12">
      <c r="A27" t="s">
        <v>44</v>
      </c>
      <c r="B27" s="1"/>
      <c r="C27" s="1">
        <v>19</v>
      </c>
      <c r="D27" s="1">
        <v>3</v>
      </c>
      <c r="E27" s="2"/>
      <c r="F27" s="6"/>
      <c r="G27" s="4"/>
      <c r="H27" s="4"/>
      <c r="I27" s="5"/>
      <c r="J27" s="4" t="str">
        <f>Table1[[#This Row],[libcrt]]</f>
        <v>PSC SANTE MSST</v>
      </c>
      <c r="K27" s="4" t="s">
        <v>21</v>
      </c>
      <c r="L27" s="4"/>
    </row>
    <row r="28" spans="1:12">
      <c r="A28" t="s">
        <v>45</v>
      </c>
      <c r="B28" s="1">
        <f>SUM(B4:B25)</f>
        <v>2868655</v>
      </c>
      <c r="C28" s="1">
        <f>SUM(C4:C27)</f>
        <v>223687</v>
      </c>
      <c r="D28" s="1">
        <f t="shared" ref="D28" si="0">SUM(D4:D25)</f>
        <v>178616</v>
      </c>
      <c r="E28" s="3">
        <f>Table1[[#Totals],[Actifs]]/(Table1[[#Totals],[Actifs]]+Table1[[#Totals],[non Actifs]]+Table1[[#Totals],[Non_noémisable]])</f>
        <v>0.87700759227113279</v>
      </c>
    </row>
    <row r="29" spans="1:12">
      <c r="A29" t="s">
        <v>46</v>
      </c>
      <c r="B29" s="1">
        <f>B4+B5+B6+B7+B8+B26+B27</f>
        <v>1574007</v>
      </c>
      <c r="C29" s="1">
        <f>C4+C5+C6+C7+C8</f>
        <v>158554</v>
      </c>
      <c r="D29" s="1">
        <f>D4+D5+D6+D7+D8</f>
        <v>149461</v>
      </c>
      <c r="E29" s="3">
        <f>B29/(B29+C29+D29)</f>
        <v>0.83633825746989143</v>
      </c>
    </row>
    <row r="30" spans="1:12">
      <c r="A30" t="s">
        <v>47</v>
      </c>
      <c r="B30" s="1">
        <f>SUM(B9:B27)</f>
        <v>1294648</v>
      </c>
      <c r="C30" s="1">
        <f t="shared" ref="C30:D30" si="1">SUM(C9:C27)</f>
        <v>65133</v>
      </c>
      <c r="D30" s="1">
        <f t="shared" si="1"/>
        <v>29158</v>
      </c>
      <c r="E30" s="3">
        <f>B30/(B30+C30+D30)</f>
        <v>0.93211292936550849</v>
      </c>
    </row>
    <row r="31" spans="1:12">
      <c r="C31" s="1"/>
    </row>
    <row r="32" spans="1:12">
      <c r="C32" s="1"/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46c7adc1-b852-4dfe-994d-c23d70d3dbf5}" enabled="0" method="" siteId="{46c7adc1-b852-4dfe-994d-c23d70d3dbf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Power BI</dc:creator>
  <cp:keywords/>
  <dc:description/>
  <cp:lastModifiedBy/>
  <cp:revision/>
  <dcterms:created xsi:type="dcterms:W3CDTF">2016-07-06T08:22:49Z</dcterms:created>
  <dcterms:modified xsi:type="dcterms:W3CDTF">2026-07-29T10:35:18Z</dcterms:modified>
  <cp:category/>
  <cp:contentStatus/>
</cp:coreProperties>
</file>